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对账\广州熊动\202512\"/>
    </mc:Choice>
  </mc:AlternateContent>
  <xr:revisionPtr revIDLastSave="0" documentId="13_ncr:1_{10C71C35-327B-40F8-AFBE-EAAD06C82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对账单" sheetId="1" r:id="rId1"/>
    <sheet name="代金券" sheetId="4" r:id="rId2"/>
    <sheet name="测试费" sheetId="5" r:id="rId3"/>
  </sheets>
  <definedNames>
    <definedName name="_xlnm._FilterDatabase" localSheetId="1" hidden="1">代金券!$A$1:$O$272</definedName>
    <definedName name="_xlnm._FilterDatabase" localSheetId="0" hidden="1">对账单!$A$3:$M$23</definedName>
  </definedNames>
  <calcPr calcId="181029"/>
</workbook>
</file>

<file path=xl/calcChain.xml><?xml version="1.0" encoding="utf-8"?>
<calcChain xmlns="http://schemas.openxmlformats.org/spreadsheetml/2006/main">
  <c r="G5" i="1" l="1"/>
  <c r="G8" i="1" s="1"/>
  <c r="G4" i="1"/>
  <c r="F7" i="1"/>
  <c r="D8" i="1"/>
  <c r="H8" i="1"/>
  <c r="E7" i="1"/>
  <c r="E6" i="1"/>
  <c r="I6" i="1" s="1"/>
  <c r="M6" i="1" s="1"/>
  <c r="E5" i="1"/>
  <c r="I5" i="1" s="1"/>
  <c r="M5" i="1" s="1"/>
  <c r="E4" i="1"/>
  <c r="I4" i="1" s="1"/>
  <c r="M4" i="1" s="1"/>
  <c r="E8" i="1" l="1"/>
  <c r="I7" i="1"/>
  <c r="M7" i="1" s="1"/>
  <c r="M8" i="1" s="1"/>
  <c r="G9" i="1" s="1"/>
  <c r="F8" i="1"/>
  <c r="I8" i="1" l="1"/>
</calcChain>
</file>

<file path=xl/sharedStrings.xml><?xml version="1.0" encoding="utf-8"?>
<sst xmlns="http://schemas.openxmlformats.org/spreadsheetml/2006/main" count="884" uniqueCount="326">
  <si>
    <t>结算对账单</t>
  </si>
  <si>
    <t>统计时间：2025年12月01日-2025年12月31日</t>
  </si>
  <si>
    <t>序号</t>
  </si>
  <si>
    <t>计费周期</t>
  </si>
  <si>
    <t>游戏名称</t>
  </si>
  <si>
    <t>流水</t>
  </si>
  <si>
    <t>充值金额</t>
  </si>
  <si>
    <t>测试费金额</t>
  </si>
  <si>
    <t>代金券金额</t>
  </si>
  <si>
    <t>退款</t>
  </si>
  <si>
    <t>实际结算金额</t>
  </si>
  <si>
    <t>渠道费率</t>
  </si>
  <si>
    <t>税费率</t>
  </si>
  <si>
    <t>结算比例</t>
  </si>
  <si>
    <t>结算金额</t>
  </si>
  <si>
    <t>一起来修仙（0.05折）</t>
  </si>
  <si>
    <t>圣树唤歌（0.05折）</t>
  </si>
  <si>
    <t>龙吟大陆（0.1折正版放置手游）</t>
  </si>
  <si>
    <t>合   计：</t>
  </si>
  <si>
    <t>结算金额（人民币大写）</t>
  </si>
  <si>
    <t>辛苦核对无误后【打印盖章】，一式一份或一式两份（如需回寄）
与发票一同寄至：</t>
  </si>
  <si>
    <t>回寄地址
（需要回寄对账单请附上邮寄地址，没有地址不回寄）：</t>
  </si>
  <si>
    <t>收件人：李小姐</t>
  </si>
  <si>
    <t>收件人：王淼</t>
  </si>
  <si>
    <t>手机号码：13418032315</t>
  </si>
  <si>
    <t>手机号码：18610308952</t>
  </si>
  <si>
    <t>联系地址：广州市天河区建中路64号佳都商务大厦西塔301</t>
  </si>
  <si>
    <t>联系地址：广州市天河区体育东路南方证券大厦21层2107-A门</t>
  </si>
  <si>
    <t>广州南游网络科技有限公司</t>
  </si>
  <si>
    <t>广州熊动科技有限公司</t>
  </si>
  <si>
    <r>
      <rPr>
        <sz val="11"/>
        <color indexed="8"/>
        <rFont val="WPS灵秀黑"/>
        <charset val="134"/>
      </rPr>
      <t xml:space="preserve">公司名称:广州南游网络科技有限公司
开户银行: 招商银行股份有限公司广州科技园支行
开户账号:120920031510902
发票抬头: 广州南游网络科技有限公司
发票名目: </t>
    </r>
    <r>
      <rPr>
        <sz val="11"/>
        <color rgb="FFFF0000"/>
        <rFont val="WPS灵秀黑"/>
        <charset val="134"/>
      </rPr>
      <t>*信息系统服务*信息服务费</t>
    </r>
    <r>
      <rPr>
        <sz val="11"/>
        <color indexed="8"/>
        <rFont val="WPS灵秀黑"/>
        <charset val="134"/>
      </rPr>
      <t xml:space="preserve">
纳税人识别号: 91440101MA9Y0Y20XQ
开票地址: 广州市天河区建中路64，66号西301-1房
开票电话: 020-38801635</t>
    </r>
  </si>
  <si>
    <t>收款方银行信息</t>
  </si>
  <si>
    <t>开户名称：广州熊动科技有限公司</t>
  </si>
  <si>
    <t>开户银行：中国工商银行股份有限公司广州兴华支行</t>
  </si>
  <si>
    <t>银行账号：3602841509200157769</t>
  </si>
  <si>
    <t>（盖章处）</t>
  </si>
  <si>
    <t>创建日期</t>
  </si>
  <si>
    <t>付款完成日期</t>
  </si>
  <si>
    <t>商家订单编号</t>
  </si>
  <si>
    <t>用户ID</t>
  </si>
  <si>
    <t>应用名</t>
  </si>
  <si>
    <t>原价</t>
  </si>
  <si>
    <t>优惠券面额</t>
  </si>
  <si>
    <t>优惠券余额</t>
  </si>
  <si>
    <t>0.1折减免</t>
  </si>
  <si>
    <t>订单金额</t>
  </si>
  <si>
    <t>星悦减免</t>
  </si>
  <si>
    <t>优惠券减免额度</t>
  </si>
  <si>
    <t>优惠券实际减免</t>
  </si>
  <si>
    <t>实际支付</t>
  </si>
  <si>
    <t>厂商名称</t>
  </si>
  <si>
    <t>大熊游戏-广州熊动（超凡）</t>
  </si>
  <si>
    <t>云上征途（0.1齐天伏魔）</t>
  </si>
  <si>
    <t>40920251218155704057717693</t>
  </si>
  <si>
    <t>40920251201104109244198833</t>
  </si>
  <si>
    <t>40920251201105245507433593</t>
  </si>
  <si>
    <t>40920251201184035051647283</t>
  </si>
  <si>
    <t>40920251201220649570055463</t>
  </si>
  <si>
    <t>40920251201233335333248413</t>
  </si>
  <si>
    <t>40920251201235959500194163</t>
  </si>
  <si>
    <t>40920251202012551718892213</t>
  </si>
  <si>
    <t>40920251202081415821508233</t>
  </si>
  <si>
    <t>40920251202085423863079173</t>
  </si>
  <si>
    <t>40920251202101914983958763</t>
  </si>
  <si>
    <t>40920251202115242164566143</t>
  </si>
  <si>
    <t>40920251202185135004348203</t>
  </si>
  <si>
    <t>40920251202193858236043873</t>
  </si>
  <si>
    <t>40920251202200344607468883</t>
  </si>
  <si>
    <t>40920251203001658811013593</t>
  </si>
  <si>
    <t>40920251203021023939146433</t>
  </si>
  <si>
    <t>40920251203042103287563733</t>
  </si>
  <si>
    <t>40920251203065100334502193</t>
  </si>
  <si>
    <t>40920251203103317616517883</t>
  </si>
  <si>
    <t>40920251203142418911026163</t>
  </si>
  <si>
    <t>40920251203151428918826623</t>
  </si>
  <si>
    <t>40920251203165318634972483</t>
  </si>
  <si>
    <t>40920251203172901834982513</t>
  </si>
  <si>
    <t>40920251203194249375889023</t>
  </si>
  <si>
    <t>40920251203202953820140453</t>
  </si>
  <si>
    <t>40920251203220400259741353</t>
  </si>
  <si>
    <t>40920251203225850465168383</t>
  </si>
  <si>
    <t>40920251204001359780172163</t>
  </si>
  <si>
    <t>40920251204002157441563483</t>
  </si>
  <si>
    <t>40920251204014419924624403</t>
  </si>
  <si>
    <t>40920251204085724422658483</t>
  </si>
  <si>
    <t>40920251204140241265733603</t>
  </si>
  <si>
    <t>40920251204143135096475043</t>
  </si>
  <si>
    <t>40920251204174701049860443</t>
  </si>
  <si>
    <t>40920251205003813746807323</t>
  </si>
  <si>
    <t>40920251205010529438491493</t>
  </si>
  <si>
    <t>40920251205151446094643573</t>
  </si>
  <si>
    <t>40920251205223453905549923</t>
  </si>
  <si>
    <t>40920251205235605292237883</t>
  </si>
  <si>
    <t>40920251206101143139567743</t>
  </si>
  <si>
    <t>40920251206143231886102393</t>
  </si>
  <si>
    <t>40920251206171516054846633</t>
  </si>
  <si>
    <t>40920251206182536699805203</t>
  </si>
  <si>
    <t>40920251206184711602647363</t>
  </si>
  <si>
    <t>40920251206220320450287183</t>
  </si>
  <si>
    <t>40920251206221908057818193</t>
  </si>
  <si>
    <t>40920251207001734867657523</t>
  </si>
  <si>
    <t>40920251207003002021860573</t>
  </si>
  <si>
    <t>40920251207021138186269193</t>
  </si>
  <si>
    <t>40920251207062410842612983</t>
  </si>
  <si>
    <t>40920251207131401566426493</t>
  </si>
  <si>
    <t>40920251207135629938974533</t>
  </si>
  <si>
    <t>40920251207192551605169003</t>
  </si>
  <si>
    <t>40920251207224447876270603</t>
  </si>
  <si>
    <t>40920251207232851428314413</t>
  </si>
  <si>
    <t>40920251208012747803056603</t>
  </si>
  <si>
    <t>40920251208065600955912613</t>
  </si>
  <si>
    <t>40920251208103306810047943</t>
  </si>
  <si>
    <t>40920251208120042213735613</t>
  </si>
  <si>
    <t>40920251208142950827963343</t>
  </si>
  <si>
    <t>40920251208153537336622283</t>
  </si>
  <si>
    <t>40920251208181844614006293</t>
  </si>
  <si>
    <t>40920251208221712445013423</t>
  </si>
  <si>
    <t>40920251208221942115169343</t>
  </si>
  <si>
    <t>40920251208225810445536413</t>
  </si>
  <si>
    <t>40920251209002447319331573</t>
  </si>
  <si>
    <t>40920251209032514801492323</t>
  </si>
  <si>
    <t>40920251209103920179488623</t>
  </si>
  <si>
    <t>40920251209121631361911313</t>
  </si>
  <si>
    <t>40920251209161153083347503</t>
  </si>
  <si>
    <t>40920251210000054298213233</t>
  </si>
  <si>
    <t>40920251210034609706516643</t>
  </si>
  <si>
    <t>40920251210071445148618883</t>
  </si>
  <si>
    <t>40920251210080640438331143</t>
  </si>
  <si>
    <t>40920251210092635377219243</t>
  </si>
  <si>
    <t>40920251210092725085933913</t>
  </si>
  <si>
    <t>40920251210114337884909303</t>
  </si>
  <si>
    <t>40920251210122146395410073</t>
  </si>
  <si>
    <t>40920251210125331287465673</t>
  </si>
  <si>
    <t>40920251210154956966243633</t>
  </si>
  <si>
    <t>40920251210160255943508353</t>
  </si>
  <si>
    <t>40920251210171621010305073</t>
  </si>
  <si>
    <t>40920251210222225641591743</t>
  </si>
  <si>
    <t>40920251210231321663877623</t>
  </si>
  <si>
    <t>40920251211001153227169923</t>
  </si>
  <si>
    <t>40920251211003405341752203</t>
  </si>
  <si>
    <t>40920251211064826724076193</t>
  </si>
  <si>
    <t>40920251211103448933716323</t>
  </si>
  <si>
    <t>40920251211112246797835613</t>
  </si>
  <si>
    <t>40920251211121308962663073</t>
  </si>
  <si>
    <t>40920251211133736673300513</t>
  </si>
  <si>
    <t>40920251211162028445790123</t>
  </si>
  <si>
    <t>40920251212180722928791073</t>
  </si>
  <si>
    <t>40920251212213736462644983</t>
  </si>
  <si>
    <t>40920251212225329804241673</t>
  </si>
  <si>
    <t>40920251212230501230649723</t>
  </si>
  <si>
    <t>40920251212232738879737103</t>
  </si>
  <si>
    <t>40920251213022658992501623</t>
  </si>
  <si>
    <t>40920251213091804829498863</t>
  </si>
  <si>
    <t>40920251213113901791815383</t>
  </si>
  <si>
    <t>40920251213125707845194643</t>
  </si>
  <si>
    <t>40920251213133318796433723</t>
  </si>
  <si>
    <t>40920251213135213534766633</t>
  </si>
  <si>
    <t>40920251213203630694500153</t>
  </si>
  <si>
    <t>40920251213203758510266513</t>
  </si>
  <si>
    <t>40920251213220033412647083</t>
  </si>
  <si>
    <t>40920251213230521690252763</t>
  </si>
  <si>
    <t>40920251214020345793821683</t>
  </si>
  <si>
    <t>40920251214025554700975343</t>
  </si>
  <si>
    <t>40920251214084957230083663</t>
  </si>
  <si>
    <t>40920251214093404138804403</t>
  </si>
  <si>
    <t>40920251214111250464025413</t>
  </si>
  <si>
    <t>40920251214114549583458543</t>
  </si>
  <si>
    <t>40920251214154412565139023</t>
  </si>
  <si>
    <t>40920251214215943486070743</t>
  </si>
  <si>
    <t>40920251214224825852161903</t>
  </si>
  <si>
    <t>40920251214231929965186103</t>
  </si>
  <si>
    <t>40920251214235510025756873</t>
  </si>
  <si>
    <t>40920251214235942842352773</t>
  </si>
  <si>
    <t>40920251215002605030972863</t>
  </si>
  <si>
    <t>40920251215042706588575913</t>
  </si>
  <si>
    <t>40920251215104438883649033</t>
  </si>
  <si>
    <t>40920251215114117003317703</t>
  </si>
  <si>
    <t>40920251215142845883573093</t>
  </si>
  <si>
    <t>40920251215145708939812963</t>
  </si>
  <si>
    <t>40920251215173546368942323</t>
  </si>
  <si>
    <t>40920251215185447454501043</t>
  </si>
  <si>
    <t>40920251215201435881217093</t>
  </si>
  <si>
    <t>40920251216034812577346523</t>
  </si>
  <si>
    <t>40920251216112539195791843</t>
  </si>
  <si>
    <t>40920251216195045690028363</t>
  </si>
  <si>
    <t>40920251217010332785687533</t>
  </si>
  <si>
    <t>40920251217010742453941083</t>
  </si>
  <si>
    <t>40920251217132331957360833</t>
  </si>
  <si>
    <t>40920251217135241682506553</t>
  </si>
  <si>
    <t>40920251217154936918564903</t>
  </si>
  <si>
    <t>40920251217164432820599953</t>
  </si>
  <si>
    <t>40920251217181342156897373</t>
  </si>
  <si>
    <t>40920251217185940597347563</t>
  </si>
  <si>
    <t>40920251217233236474622233</t>
  </si>
  <si>
    <t>40920251217235015607421663</t>
  </si>
  <si>
    <t>40920251217235527764200063</t>
  </si>
  <si>
    <t>40920251218001832418219693</t>
  </si>
  <si>
    <t>40920251218064000324649413</t>
  </si>
  <si>
    <t>40920251218072945751558943</t>
  </si>
  <si>
    <t>40920251218080836609073443</t>
  </si>
  <si>
    <t>40920251218114646857731413</t>
  </si>
  <si>
    <t>40920251218120552082626163</t>
  </si>
  <si>
    <t>40920251218135814720132773</t>
  </si>
  <si>
    <t>40920251218194627328717043</t>
  </si>
  <si>
    <t>40920251218194937210591093</t>
  </si>
  <si>
    <t>40920251219003132709548303</t>
  </si>
  <si>
    <t>40920251219012545456394973</t>
  </si>
  <si>
    <t>40920251219041159241307393</t>
  </si>
  <si>
    <t>40920251219050031664701893</t>
  </si>
  <si>
    <t>40920251219050331462481103</t>
  </si>
  <si>
    <t>40920251219090015162749393</t>
  </si>
  <si>
    <t>40920251219093904185981733</t>
  </si>
  <si>
    <t>40920251219214715959884973</t>
  </si>
  <si>
    <t>40920251219223216512065063</t>
  </si>
  <si>
    <t>40920251219235952528798913</t>
  </si>
  <si>
    <t>40920251220121926857357473</t>
  </si>
  <si>
    <t>40920251220135035226650373</t>
  </si>
  <si>
    <t>40920251220142402973826013</t>
  </si>
  <si>
    <t>40920251220182740450041883</t>
  </si>
  <si>
    <t>40920251220193150441518703</t>
  </si>
  <si>
    <t>40920251220230015146878483</t>
  </si>
  <si>
    <t>40920251220231613754689733</t>
  </si>
  <si>
    <t>40920251221005935813091253</t>
  </si>
  <si>
    <t>40920251221012614664985193</t>
  </si>
  <si>
    <t>40920251221054518777181493</t>
  </si>
  <si>
    <t>40920251221103115320719343</t>
  </si>
  <si>
    <t>40920251221105018476280863</t>
  </si>
  <si>
    <t>40920251221112942851537143</t>
  </si>
  <si>
    <t>40920251221135447900128233</t>
  </si>
  <si>
    <t>40920251221151013701732503</t>
  </si>
  <si>
    <t>40920251221162752838645083</t>
  </si>
  <si>
    <t>40920251221171159308583423</t>
  </si>
  <si>
    <t>40920251221221322872308923</t>
  </si>
  <si>
    <t>40920251221222124603296103</t>
  </si>
  <si>
    <t>40920251221223037136523753</t>
  </si>
  <si>
    <t>40920251221235652876892503</t>
  </si>
  <si>
    <t>40920251221235943713690503</t>
  </si>
  <si>
    <t>40920251222013516994151063</t>
  </si>
  <si>
    <t>40920251222015741801247303</t>
  </si>
  <si>
    <t>40920251222141145349189213</t>
  </si>
  <si>
    <t>40920251222150224191368403</t>
  </si>
  <si>
    <t>40920251222193346214156533</t>
  </si>
  <si>
    <t>40920251222213800309538463</t>
  </si>
  <si>
    <t>40920251222220245315882663</t>
  </si>
  <si>
    <t>40920251223054530988714003</t>
  </si>
  <si>
    <t>40920251223104046076995223</t>
  </si>
  <si>
    <t>40920251223124621459801063</t>
  </si>
  <si>
    <t>40920251223162431234855393</t>
  </si>
  <si>
    <t>40920251223201210467814253</t>
  </si>
  <si>
    <t>40920251223203157682855283</t>
  </si>
  <si>
    <t>40920251223210330124960243</t>
  </si>
  <si>
    <t>40920251223215706002255213</t>
  </si>
  <si>
    <t>40920251223232404528687893</t>
  </si>
  <si>
    <t>40920251224002508993001433</t>
  </si>
  <si>
    <t>40920251224005511866582483</t>
  </si>
  <si>
    <t>40920251224011250195349133</t>
  </si>
  <si>
    <t>40920251224021206577830303</t>
  </si>
  <si>
    <t>40920251224040844128181033</t>
  </si>
  <si>
    <t>40920251224120619302510703</t>
  </si>
  <si>
    <t>40920251224122841414873353</t>
  </si>
  <si>
    <t>40920251224143359580610613</t>
  </si>
  <si>
    <t>40920251224180341841091563</t>
  </si>
  <si>
    <t>40920251224190334818035593</t>
  </si>
  <si>
    <t>40920251224192303974485323</t>
  </si>
  <si>
    <t>40920251224230813934711713</t>
  </si>
  <si>
    <t>40920251225003353163537733</t>
  </si>
  <si>
    <t>40920251225010623408812313</t>
  </si>
  <si>
    <t>40920251225021312457669643</t>
  </si>
  <si>
    <t>40920251225052014282511583</t>
  </si>
  <si>
    <t>40920251225060456826793973</t>
  </si>
  <si>
    <t>40920251225072319044106153</t>
  </si>
  <si>
    <t>40920251225084655747384403</t>
  </si>
  <si>
    <t>40920251225114640563844073</t>
  </si>
  <si>
    <t>40920251225143307676544503</t>
  </si>
  <si>
    <t>40920251225154750571394993</t>
  </si>
  <si>
    <t>40920251225215435023591403</t>
  </si>
  <si>
    <t>40920251225231631075629243</t>
  </si>
  <si>
    <t>40920251226014036080741533</t>
  </si>
  <si>
    <t>40920251226021958348536993</t>
  </si>
  <si>
    <t>40920251226022906611042233</t>
  </si>
  <si>
    <t>40920251226025704881726723</t>
  </si>
  <si>
    <t>40920251226095010897612413</t>
  </si>
  <si>
    <t>40920251226112903816371393</t>
  </si>
  <si>
    <t>40920251226124026221385053</t>
  </si>
  <si>
    <t>40920251226175034262966703</t>
  </si>
  <si>
    <t>40920251226215834445662863</t>
  </si>
  <si>
    <t>40920251226225343921164833</t>
  </si>
  <si>
    <t>40920251227104432185902583</t>
  </si>
  <si>
    <t>40920251227124202258511963</t>
  </si>
  <si>
    <t>40920251227140231795711023</t>
  </si>
  <si>
    <t>40920251227151635436825613</t>
  </si>
  <si>
    <t>40920251227174335148029013</t>
  </si>
  <si>
    <t>40920251227190622513697693</t>
  </si>
  <si>
    <t>40920251227231118445530323</t>
  </si>
  <si>
    <t>40920251228051434920072643</t>
  </si>
  <si>
    <t>40920251228093644578560023</t>
  </si>
  <si>
    <t>40920251228133722934208973</t>
  </si>
  <si>
    <t>40920251228172135396492053</t>
  </si>
  <si>
    <t>40920251228192055323609843</t>
  </si>
  <si>
    <t>40920251228194303104564083</t>
  </si>
  <si>
    <t>40920251228220129112148503</t>
  </si>
  <si>
    <t>40920251228234651275115463</t>
  </si>
  <si>
    <t>40920251229001542310301343</t>
  </si>
  <si>
    <t>40920251229024642495564963</t>
  </si>
  <si>
    <t>40920251229045157005293753</t>
  </si>
  <si>
    <t>40920251229095044536241373</t>
  </si>
  <si>
    <t>40920251229115914312949043</t>
  </si>
  <si>
    <t>40920251229142340709847083</t>
  </si>
  <si>
    <t>40920251229142725230616983</t>
  </si>
  <si>
    <t>40920251229175328969168323</t>
  </si>
  <si>
    <t>40920251229204522738665103</t>
  </si>
  <si>
    <t>40920251229212231496722133</t>
  </si>
  <si>
    <t>40920251229235003059129783</t>
  </si>
  <si>
    <t>40920251229235244552726103</t>
  </si>
  <si>
    <t>40920251230002419347173393</t>
  </si>
  <si>
    <t>40920251230035950746100823</t>
  </si>
  <si>
    <t>40920251230101811214167563</t>
  </si>
  <si>
    <t>40920251230153208816202583</t>
  </si>
  <si>
    <t>40920251230161309505133193</t>
  </si>
  <si>
    <t>40920251230180226981053623</t>
  </si>
  <si>
    <t>40920251230230037592562613</t>
  </si>
  <si>
    <t>40920251231012755847121753</t>
  </si>
  <si>
    <t>40920251231142501180965613</t>
  </si>
  <si>
    <t>40920251231171434800517093</t>
  </si>
  <si>
    <t>40920251231231351572157563</t>
  </si>
  <si>
    <t>云上征途（0.1齐天伏魔）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</si>
</sst>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7" formatCode="_ &quot;￥&quot;* #,##0.00_ ;_ &quot;￥&quot;* \-#,##0.00_ ;_ &quot;￥&quot;* &quot;-&quot;??_ ;_ @_ "/>
    <numFmt numFmtId="178" formatCode="yyyy\-mm\-dd\ hh:mm:ss"/>
    <numFmt numFmtId="179" formatCode="0_ "/>
    <numFmt numFmtId="180" formatCode="yyyy&quot;年&quot;m&quot;月&quot;;@"/>
    <numFmt numFmtId="181" formatCode="0.00_ "/>
    <numFmt numFmtId="182" formatCode="#,##0.00_ "/>
    <numFmt numFmtId="183" formatCode="[DBNum2][$RMB]General;[Red][DBNum2][$RMB]General"/>
  </numFmts>
  <fonts count="10">
    <font>
      <sz val="11"/>
      <color indexed="8"/>
      <name val="Calibri"/>
      <charset val="134"/>
    </font>
    <font>
      <b/>
      <sz val="14"/>
      <name val="宋体"/>
      <family val="3"/>
      <charset val="134"/>
    </font>
    <font>
      <sz val="11"/>
      <name val="Calibri"/>
      <family val="2"/>
    </font>
    <font>
      <sz val="11"/>
      <color indexed="8"/>
      <name val="WPS灵秀黑"/>
      <charset val="134"/>
    </font>
    <font>
      <b/>
      <sz val="22"/>
      <color indexed="8"/>
      <name val="WPS灵秀黑"/>
      <charset val="134"/>
    </font>
    <font>
      <b/>
      <sz val="11"/>
      <color indexed="8"/>
      <name val="WPS灵秀黑"/>
      <charset val="134"/>
    </font>
    <font>
      <sz val="11"/>
      <name val="WPS灵秀黑"/>
      <charset val="134"/>
    </font>
    <font>
      <b/>
      <sz val="11"/>
      <color rgb="FFFF0000"/>
      <name val="WPS灵秀黑"/>
      <charset val="134"/>
    </font>
    <font>
      <sz val="11"/>
      <color rgb="FFFF0000"/>
      <name val="WPS灵秀黑"/>
      <charset val="134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 applyFill="0" applyProtection="0">
      <alignment horizontal="center" vertical="center"/>
    </xf>
  </cellStyleXfs>
  <cellXfs count="87">
    <xf numFmtId="0" fontId="0" fillId="0" borderId="0" xfId="0" applyFill="1" applyProtection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8" fontId="2" fillId="0" borderId="0" xfId="0" applyNumberFormat="1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3" fillId="0" borderId="0" xfId="0" applyFont="1" applyFill="1" applyProtection="1">
      <alignment horizontal="center" vertical="center"/>
    </xf>
    <xf numFmtId="0" fontId="5" fillId="0" borderId="9" xfId="0" applyFont="1" applyFill="1" applyBorder="1" applyProtection="1">
      <alignment horizontal="center" vertical="center"/>
    </xf>
    <xf numFmtId="0" fontId="5" fillId="0" borderId="1" xfId="0" applyFont="1" applyFill="1" applyBorder="1" applyProtection="1">
      <alignment horizontal="center" vertical="center"/>
    </xf>
    <xf numFmtId="0" fontId="5" fillId="0" borderId="10" xfId="0" applyFont="1" applyFill="1" applyBorder="1" applyProtection="1">
      <alignment horizontal="center" vertical="center"/>
    </xf>
    <xf numFmtId="0" fontId="5" fillId="0" borderId="11" xfId="0" applyFont="1" applyFill="1" applyBorder="1" applyProtection="1">
      <alignment horizontal="center" vertical="center"/>
    </xf>
    <xf numFmtId="0" fontId="5" fillId="0" borderId="12" xfId="0" applyFont="1" applyFill="1" applyBorder="1" applyProtection="1">
      <alignment horizontal="center" vertical="center"/>
    </xf>
    <xf numFmtId="179" fontId="3" fillId="0" borderId="9" xfId="0" applyNumberFormat="1" applyFont="1" applyFill="1" applyBorder="1" applyProtection="1">
      <alignment horizontal="center" vertical="center"/>
    </xf>
    <xf numFmtId="180" fontId="3" fillId="0" borderId="1" xfId="0" applyNumberFormat="1" applyFont="1" applyFill="1" applyBorder="1" applyProtection="1">
      <alignment horizontal="center" vertical="center"/>
    </xf>
    <xf numFmtId="0" fontId="6" fillId="0" borderId="13" xfId="0" applyFont="1" applyFill="1" applyBorder="1" applyProtection="1">
      <alignment horizontal="center" vertical="center"/>
    </xf>
    <xf numFmtId="181" fontId="3" fillId="0" borderId="14" xfId="0" applyNumberFormat="1" applyFont="1" applyFill="1" applyBorder="1" applyProtection="1">
      <alignment horizontal="center" vertical="center"/>
    </xf>
    <xf numFmtId="10" fontId="3" fillId="0" borderId="14" xfId="0" applyNumberFormat="1" applyFont="1" applyFill="1" applyBorder="1" applyProtection="1">
      <alignment horizontal="center" vertical="center"/>
    </xf>
    <xf numFmtId="10" fontId="6" fillId="0" borderId="14" xfId="0" applyNumberFormat="1" applyFont="1" applyFill="1" applyBorder="1" applyProtection="1">
      <alignment horizontal="center" vertical="center"/>
    </xf>
    <xf numFmtId="182" fontId="3" fillId="0" borderId="15" xfId="0" applyNumberFormat="1" applyFont="1" applyFill="1" applyBorder="1" applyProtection="1">
      <alignment horizontal="center" vertical="center"/>
    </xf>
    <xf numFmtId="181" fontId="3" fillId="0" borderId="0" xfId="0" applyNumberFormat="1" applyFont="1" applyFill="1" applyProtection="1">
      <alignment horizontal="center" vertical="center"/>
    </xf>
    <xf numFmtId="43" fontId="3" fillId="0" borderId="0" xfId="0" applyNumberFormat="1" applyFont="1" applyFill="1" applyProtection="1">
      <alignment horizontal="center" vertical="center"/>
    </xf>
    <xf numFmtId="0" fontId="3" fillId="0" borderId="13" xfId="0" applyFont="1" applyFill="1" applyBorder="1" applyProtection="1">
      <alignment horizontal="center" vertical="center"/>
    </xf>
    <xf numFmtId="177" fontId="5" fillId="0" borderId="14" xfId="0" applyNumberFormat="1" applyFont="1" applyFill="1" applyBorder="1" applyProtection="1">
      <alignment horizontal="center" vertical="center"/>
    </xf>
    <xf numFmtId="177" fontId="7" fillId="0" borderId="15" xfId="0" applyNumberFormat="1" applyFont="1" applyFill="1" applyBorder="1" applyProtection="1">
      <alignment horizontal="center" vertical="center"/>
    </xf>
    <xf numFmtId="0" fontId="4" fillId="0" borderId="2" xfId="0" applyFont="1" applyFill="1" applyBorder="1" applyProtection="1">
      <alignment horizontal="center" vertical="center"/>
    </xf>
    <xf numFmtId="0" fontId="4" fillId="0" borderId="3" xfId="0" applyFont="1" applyFill="1" applyBorder="1" applyProtection="1">
      <alignment horizontal="center" vertical="center"/>
    </xf>
    <xf numFmtId="0" fontId="5" fillId="0" borderId="4" xfId="0" applyFont="1" applyFill="1" applyBorder="1" applyProtection="1">
      <alignment horizontal="center" vertical="center"/>
    </xf>
    <xf numFmtId="0" fontId="5" fillId="0" borderId="5" xfId="0" applyFont="1" applyFill="1" applyBorder="1" applyProtection="1">
      <alignment horizontal="center" vertical="center"/>
    </xf>
    <xf numFmtId="0" fontId="5" fillId="0" borderId="6" xfId="0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horizontal="left" vertical="center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16" xfId="0" applyFont="1" applyFill="1" applyBorder="1" applyProtection="1">
      <alignment horizontal="center" vertical="center"/>
    </xf>
    <xf numFmtId="0" fontId="5" fillId="0" borderId="10" xfId="0" applyFont="1" applyFill="1" applyBorder="1" applyProtection="1">
      <alignment horizontal="center" vertical="center"/>
    </xf>
    <xf numFmtId="0" fontId="5" fillId="0" borderId="14" xfId="0" applyFont="1" applyFill="1" applyBorder="1" applyProtection="1">
      <alignment horizontal="center" vertical="center"/>
    </xf>
    <xf numFmtId="0" fontId="5" fillId="0" borderId="17" xfId="0" applyFont="1" applyFill="1" applyBorder="1" applyProtection="1">
      <alignment horizontal="center" vertical="center"/>
    </xf>
    <xf numFmtId="0" fontId="5" fillId="0" borderId="18" xfId="0" applyFont="1" applyFill="1" applyBorder="1" applyProtection="1">
      <alignment horizontal="center" vertical="center"/>
    </xf>
    <xf numFmtId="0" fontId="5" fillId="0" borderId="19" xfId="0" applyFont="1" applyFill="1" applyBorder="1" applyProtection="1">
      <alignment horizontal="center" vertical="center"/>
    </xf>
    <xf numFmtId="183" fontId="7" fillId="0" borderId="20" xfId="0" applyNumberFormat="1" applyFont="1" applyFill="1" applyBorder="1" applyProtection="1">
      <alignment horizontal="center" vertical="center"/>
    </xf>
    <xf numFmtId="183" fontId="7" fillId="0" borderId="18" xfId="0" applyNumberFormat="1" applyFont="1" applyFill="1" applyBorder="1" applyProtection="1">
      <alignment horizontal="center" vertical="center"/>
    </xf>
    <xf numFmtId="183" fontId="7" fillId="0" borderId="21" xfId="0" applyNumberFormat="1" applyFont="1" applyFill="1" applyBorder="1" applyProtection="1">
      <alignment horizontal="center" vertical="center"/>
    </xf>
    <xf numFmtId="0" fontId="3" fillId="0" borderId="22" xfId="0" applyFont="1" applyFill="1" applyBorder="1" applyAlignment="1" applyProtection="1">
      <alignment horizontal="left" vertical="center" wrapText="1"/>
    </xf>
    <xf numFmtId="0" fontId="3" fillId="0" borderId="23" xfId="0" applyFont="1" applyFill="1" applyBorder="1" applyAlignment="1" applyProtection="1">
      <alignment horizontal="left" vertical="center" wrapText="1"/>
    </xf>
    <xf numFmtId="0" fontId="3" fillId="0" borderId="24" xfId="0" applyFont="1" applyFill="1" applyBorder="1" applyAlignment="1" applyProtection="1">
      <alignment horizontal="left" vertical="center" wrapText="1"/>
    </xf>
    <xf numFmtId="0" fontId="3" fillId="0" borderId="25" xfId="0" applyFont="1" applyFill="1" applyBorder="1" applyAlignment="1" applyProtection="1">
      <alignment horizontal="left" vertical="center" wrapText="1"/>
    </xf>
    <xf numFmtId="0" fontId="3" fillId="0" borderId="26" xfId="0" applyFont="1" applyFill="1" applyBorder="1" applyAlignment="1" applyProtection="1">
      <alignment horizontal="left" vertical="center" wrapText="1"/>
    </xf>
    <xf numFmtId="0" fontId="3" fillId="0" borderId="27" xfId="0" applyFont="1" applyFill="1" applyBorder="1" applyAlignment="1" applyProtection="1">
      <alignment horizontal="left" vertical="center" wrapText="1"/>
    </xf>
    <xf numFmtId="0" fontId="3" fillId="0" borderId="17" xfId="0" applyFont="1" applyFill="1" applyBorder="1" applyAlignment="1" applyProtection="1">
      <alignment horizontal="left" vertical="center" wrapText="1"/>
    </xf>
    <xf numFmtId="0" fontId="3" fillId="0" borderId="18" xfId="0" applyFont="1" applyFill="1" applyBorder="1" applyAlignment="1" applyProtection="1">
      <alignment horizontal="left" vertical="center" wrapText="1"/>
    </xf>
    <xf numFmtId="0" fontId="3" fillId="0" borderId="21" xfId="0" applyFont="1" applyFill="1" applyBorder="1" applyAlignment="1" applyProtection="1">
      <alignment horizontal="left" vertical="center" wrapText="1"/>
    </xf>
    <xf numFmtId="0" fontId="5" fillId="0" borderId="28" xfId="0" applyFont="1" applyFill="1" applyBorder="1" applyAlignment="1" applyProtection="1">
      <alignment horizontal="center" vertical="center" wrapText="1"/>
    </xf>
    <xf numFmtId="0" fontId="5" fillId="0" borderId="29" xfId="0" applyFont="1" applyFill="1" applyBorder="1" applyAlignment="1" applyProtection="1">
      <alignment horizontal="center" vertical="center" wrapText="1"/>
    </xf>
    <xf numFmtId="0" fontId="5" fillId="0" borderId="30" xfId="0" applyFont="1" applyFill="1" applyBorder="1" applyAlignment="1" applyProtection="1">
      <alignment horizontal="center" vertical="center" wrapText="1"/>
    </xf>
    <xf numFmtId="0" fontId="3" fillId="0" borderId="34" xfId="0" applyFont="1" applyFill="1" applyBorder="1" applyAlignment="1" applyProtection="1">
      <alignment horizontal="left" vertical="center" wrapText="1"/>
    </xf>
    <xf numFmtId="0" fontId="3" fillId="0" borderId="35" xfId="0" applyFont="1" applyFill="1" applyBorder="1" applyAlignment="1" applyProtection="1">
      <alignment horizontal="left" vertical="center" wrapText="1"/>
    </xf>
    <xf numFmtId="0" fontId="3" fillId="0" borderId="36" xfId="0" applyFont="1" applyFill="1" applyBorder="1" applyAlignment="1" applyProtection="1">
      <alignment horizontal="left" vertical="center" wrapText="1"/>
    </xf>
    <xf numFmtId="0" fontId="3" fillId="0" borderId="37" xfId="0" applyFont="1" applyFill="1" applyBorder="1" applyAlignment="1" applyProtection="1">
      <alignment horizontal="left" vertical="center" wrapText="1"/>
    </xf>
    <xf numFmtId="0" fontId="3" fillId="0" borderId="38" xfId="0" applyFont="1" applyFill="1" applyBorder="1" applyAlignment="1" applyProtection="1">
      <alignment horizontal="left" vertical="center" wrapText="1"/>
    </xf>
    <xf numFmtId="0" fontId="3" fillId="0" borderId="0" xfId="0" applyFont="1" applyFill="1" applyAlignment="1" applyProtection="1">
      <alignment horizontal="left" vertical="center" wrapText="1"/>
    </xf>
    <xf numFmtId="0" fontId="3" fillId="0" borderId="39" xfId="0" applyFont="1" applyFill="1" applyBorder="1" applyAlignment="1" applyProtection="1">
      <alignment horizontal="left" vertical="center" wrapText="1"/>
    </xf>
    <xf numFmtId="0" fontId="3" fillId="0" borderId="38" xfId="0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horizontal="left" vertical="center"/>
    </xf>
    <xf numFmtId="0" fontId="3" fillId="0" borderId="39" xfId="0" applyFont="1" applyFill="1" applyBorder="1" applyAlignment="1" applyProtection="1">
      <alignment horizontal="left" vertical="center"/>
    </xf>
    <xf numFmtId="0" fontId="3" fillId="0" borderId="46" xfId="0" applyFont="1" applyFill="1" applyBorder="1" applyProtection="1">
      <alignment horizontal="center" vertical="center"/>
    </xf>
    <xf numFmtId="0" fontId="3" fillId="0" borderId="47" xfId="0" applyFont="1" applyFill="1" applyBorder="1" applyProtection="1">
      <alignment horizontal="center" vertical="center"/>
    </xf>
    <xf numFmtId="0" fontId="3" fillId="0" borderId="48" xfId="0" applyFont="1" applyFill="1" applyBorder="1" applyProtection="1">
      <alignment horizontal="center" vertical="center"/>
    </xf>
    <xf numFmtId="0" fontId="3" fillId="0" borderId="49" xfId="0" applyFont="1" applyFill="1" applyBorder="1" applyProtection="1">
      <alignment horizontal="center" vertical="center"/>
    </xf>
    <xf numFmtId="0" fontId="3" fillId="0" borderId="31" xfId="0" applyFont="1" applyFill="1" applyBorder="1" applyAlignment="1" applyProtection="1">
      <alignment horizontal="left" vertical="center" wrapText="1"/>
    </xf>
    <xf numFmtId="0" fontId="3" fillId="0" borderId="32" xfId="0" applyFont="1" applyFill="1" applyBorder="1" applyAlignment="1" applyProtection="1">
      <alignment horizontal="left" vertical="center" wrapText="1"/>
    </xf>
    <xf numFmtId="0" fontId="3" fillId="0" borderId="33" xfId="0" applyFont="1" applyFill="1" applyBorder="1" applyAlignment="1" applyProtection="1">
      <alignment horizontal="left" vertical="center" wrapText="1"/>
    </xf>
    <xf numFmtId="0" fontId="3" fillId="0" borderId="40" xfId="0" applyFont="1" applyFill="1" applyBorder="1" applyProtection="1">
      <alignment horizontal="center" vertical="center"/>
    </xf>
    <xf numFmtId="0" fontId="3" fillId="0" borderId="41" xfId="0" applyFont="1" applyFill="1" applyBorder="1" applyProtection="1">
      <alignment horizontal="center" vertical="center"/>
    </xf>
    <xf numFmtId="0" fontId="3" fillId="0" borderId="42" xfId="0" applyFont="1" applyFill="1" applyBorder="1" applyProtection="1">
      <alignment horizontal="center" vertical="center"/>
    </xf>
    <xf numFmtId="0" fontId="3" fillId="0" borderId="43" xfId="0" applyFont="1" applyFill="1" applyBorder="1" applyProtection="1">
      <alignment horizontal="center" vertical="center"/>
    </xf>
    <xf numFmtId="0" fontId="3" fillId="0" borderId="9" xfId="0" applyFont="1" applyFill="1" applyBorder="1" applyProtection="1">
      <alignment horizontal="center" vertical="center"/>
    </xf>
    <xf numFmtId="0" fontId="3" fillId="0" borderId="44" xfId="0" applyFont="1" applyFill="1" applyBorder="1" applyProtection="1">
      <alignment horizontal="center" vertical="center"/>
    </xf>
    <xf numFmtId="0" fontId="3" fillId="0" borderId="1" xfId="0" applyFont="1" applyFill="1" applyBorder="1" applyProtection="1">
      <alignment horizontal="center" vertical="center"/>
    </xf>
    <xf numFmtId="0" fontId="3" fillId="0" borderId="45" xfId="0" applyFont="1" applyFill="1" applyBorder="1" applyProtection="1">
      <alignment horizontal="center" vertical="center"/>
    </xf>
    <xf numFmtId="0" fontId="3" fillId="0" borderId="50" xfId="0" applyFont="1" applyFill="1" applyBorder="1" applyProtection="1">
      <alignment horizontal="center" vertical="center"/>
    </xf>
    <xf numFmtId="0" fontId="3" fillId="0" borderId="51" xfId="0" applyFont="1" applyFill="1" applyBorder="1" applyProtection="1">
      <alignment horizontal="center" vertical="center"/>
    </xf>
    <xf numFmtId="0" fontId="3" fillId="0" borderId="52" xfId="0" applyFont="1" applyFill="1" applyBorder="1" applyProtection="1">
      <alignment horizontal="center" vertical="center"/>
    </xf>
    <xf numFmtId="0" fontId="3" fillId="0" borderId="53" xfId="0" applyFont="1" applyFill="1" applyBorder="1" applyProtection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8" fontId="2" fillId="4" borderId="0" xfId="0" applyNumberFormat="1" applyFont="1" applyFill="1" applyAlignment="1"/>
    <xf numFmtId="0" fontId="2" fillId="4" borderId="0" xfId="0" applyFont="1" applyFill="1" applyAlignment="1"/>
    <xf numFmtId="0" fontId="0" fillId="4" borderId="0" xfId="0" applyFill="1" applyAlignment="1">
      <alignment vertical="center"/>
    </xf>
    <xf numFmtId="10" fontId="3" fillId="4" borderId="14" xfId="0" applyNumberFormat="1" applyFont="1" applyFill="1" applyBorder="1" applyProtection="1">
      <alignment horizontal="center" vertical="center"/>
    </xf>
    <xf numFmtId="10" fontId="6" fillId="4" borderId="14" xfId="0" applyNumberFormat="1" applyFont="1" applyFill="1" applyBorder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23"/>
  <sheetViews>
    <sheetView tabSelected="1" workbookViewId="0">
      <selection activeCell="L7" sqref="L7"/>
    </sheetView>
  </sheetViews>
  <sheetFormatPr defaultColWidth="9.140625" defaultRowHeight="18" customHeight="1"/>
  <cols>
    <col min="1" max="1" width="6.140625" style="6" customWidth="1"/>
    <col min="2" max="2" width="16.5703125" style="6" customWidth="1"/>
    <col min="3" max="3" width="34.7109375" style="6" customWidth="1"/>
    <col min="4" max="4" width="26.42578125" style="6" customWidth="1"/>
    <col min="5" max="5" width="19.42578125" style="6" customWidth="1"/>
    <col min="6" max="6" width="13.42578125" style="6" customWidth="1"/>
    <col min="7" max="7" width="16.140625" style="6" customWidth="1"/>
    <col min="8" max="8" width="13.42578125" style="6" customWidth="1"/>
    <col min="9" max="9" width="19.42578125" style="6" customWidth="1"/>
    <col min="10" max="10" width="10.85546875" style="6" customWidth="1"/>
    <col min="11" max="11" width="8.42578125" style="6" customWidth="1"/>
    <col min="12" max="12" width="11.28515625" style="6" customWidth="1"/>
    <col min="13" max="13" width="21.140625" style="6" customWidth="1"/>
    <col min="14" max="14" width="16.140625" style="6" customWidth="1"/>
    <col min="15" max="16" width="14.85546875" style="6" customWidth="1"/>
    <col min="17" max="16384" width="9.140625" style="6"/>
  </cols>
  <sheetData>
    <row r="1" spans="1:16" ht="36" customHeight="1">
      <c r="A1" s="24" t="s">
        <v>0</v>
      </c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6" ht="24" customHeight="1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6" ht="24" customHeight="1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1" t="s">
        <v>14</v>
      </c>
    </row>
    <row r="4" spans="1:16" ht="24" customHeight="1">
      <c r="A4" s="12">
        <v>1</v>
      </c>
      <c r="B4" s="13">
        <v>45992</v>
      </c>
      <c r="C4" s="14" t="s">
        <v>15</v>
      </c>
      <c r="D4" s="14">
        <v>3286873</v>
      </c>
      <c r="E4" s="15">
        <f>ROUND((D4*0.005),2)</f>
        <v>16434.37</v>
      </c>
      <c r="F4" s="15"/>
      <c r="G4" s="15">
        <f>169776*0.005</f>
        <v>848.88</v>
      </c>
      <c r="H4" s="15"/>
      <c r="I4" s="15">
        <f t="shared" ref="I4:I6" si="0">E4-F4-G4-H4</f>
        <v>15585.49</v>
      </c>
      <c r="J4" s="16">
        <v>0</v>
      </c>
      <c r="K4" s="16">
        <v>0</v>
      </c>
      <c r="L4" s="17">
        <v>0.25</v>
      </c>
      <c r="M4" s="18">
        <f t="shared" ref="M4:M6" si="1">ROUND(I4*(1-J4)*(1-K4)*L4,2)</f>
        <v>3896.37</v>
      </c>
      <c r="N4" s="19"/>
      <c r="O4" s="19"/>
      <c r="P4" s="20"/>
    </row>
    <row r="5" spans="1:16" ht="24" customHeight="1">
      <c r="A5" s="12">
        <v>2</v>
      </c>
      <c r="B5" s="13">
        <v>45992</v>
      </c>
      <c r="C5" s="14" t="s">
        <v>16</v>
      </c>
      <c r="D5" s="21">
        <v>102036</v>
      </c>
      <c r="E5" s="15">
        <f>ROUND((D5*0.005),2)</f>
        <v>510.18</v>
      </c>
      <c r="F5" s="15"/>
      <c r="G5" s="15">
        <f>5832*0.005</f>
        <v>29.16</v>
      </c>
      <c r="H5" s="15"/>
      <c r="I5" s="15">
        <f t="shared" si="0"/>
        <v>481.02</v>
      </c>
      <c r="J5" s="16">
        <v>0</v>
      </c>
      <c r="K5" s="16">
        <v>0</v>
      </c>
      <c r="L5" s="17">
        <v>0.25</v>
      </c>
      <c r="M5" s="18">
        <f t="shared" si="1"/>
        <v>120.26</v>
      </c>
      <c r="N5" s="19"/>
      <c r="O5" s="19"/>
      <c r="P5" s="20"/>
    </row>
    <row r="6" spans="1:16" ht="24" customHeight="1">
      <c r="A6" s="12">
        <v>3</v>
      </c>
      <c r="B6" s="13">
        <v>45992</v>
      </c>
      <c r="C6" s="14" t="s">
        <v>17</v>
      </c>
      <c r="D6" s="21">
        <v>13.3</v>
      </c>
      <c r="E6" s="15">
        <f>D6</f>
        <v>13.3</v>
      </c>
      <c r="F6" s="15"/>
      <c r="G6" s="15"/>
      <c r="H6" s="15"/>
      <c r="I6" s="15">
        <f t="shared" si="0"/>
        <v>13.3</v>
      </c>
      <c r="J6" s="16">
        <v>0</v>
      </c>
      <c r="K6" s="16">
        <v>0</v>
      </c>
      <c r="L6" s="17">
        <v>0.25</v>
      </c>
      <c r="M6" s="18">
        <f t="shared" si="1"/>
        <v>3.33</v>
      </c>
      <c r="N6" s="19"/>
      <c r="O6" s="19"/>
      <c r="P6" s="20"/>
    </row>
    <row r="7" spans="1:16" ht="24" customHeight="1">
      <c r="A7" s="12">
        <v>4</v>
      </c>
      <c r="B7" s="13">
        <v>45992</v>
      </c>
      <c r="C7" s="14" t="s">
        <v>325</v>
      </c>
      <c r="D7" s="21">
        <v>6</v>
      </c>
      <c r="E7" s="15">
        <f>D7*0.01</f>
        <v>0.06</v>
      </c>
      <c r="F7" s="15">
        <f>6*0.01</f>
        <v>0.06</v>
      </c>
      <c r="G7" s="15"/>
      <c r="H7" s="15"/>
      <c r="I7" s="15">
        <f t="shared" ref="I7" si="2">E7-F7-G7-H7</f>
        <v>0</v>
      </c>
      <c r="J7" s="85">
        <v>0</v>
      </c>
      <c r="K7" s="16">
        <v>0</v>
      </c>
      <c r="L7" s="86">
        <v>0.25</v>
      </c>
      <c r="M7" s="18">
        <f>ROUND(I7*(1-J7)*(1-K7)*L7,2)</f>
        <v>0</v>
      </c>
      <c r="N7" s="19"/>
      <c r="O7" s="19"/>
      <c r="P7" s="20"/>
    </row>
    <row r="8" spans="1:16" ht="24" customHeight="1">
      <c r="A8" s="31" t="s">
        <v>18</v>
      </c>
      <c r="B8" s="32"/>
      <c r="C8" s="33"/>
      <c r="D8" s="22">
        <f>SUM(D4:D7)</f>
        <v>3388928.3</v>
      </c>
      <c r="E8" s="22">
        <f>SUM(E4:E7)</f>
        <v>16957.91</v>
      </c>
      <c r="F8" s="22">
        <f>SUM(F4:F7)</f>
        <v>0.06</v>
      </c>
      <c r="G8" s="22">
        <f t="shared" ref="D8:I8" si="3">SUM(G4:G7)</f>
        <v>878.04</v>
      </c>
      <c r="H8" s="22">
        <f t="shared" si="3"/>
        <v>0</v>
      </c>
      <c r="I8" s="22">
        <f>SUM(I4:I7)</f>
        <v>16079.81</v>
      </c>
      <c r="J8" s="33"/>
      <c r="K8" s="33"/>
      <c r="L8" s="33"/>
      <c r="M8" s="23">
        <f>SUM(M4:M7)</f>
        <v>4019.96</v>
      </c>
      <c r="N8" s="20"/>
      <c r="O8" s="19"/>
    </row>
    <row r="9" spans="1:16" ht="24" customHeight="1">
      <c r="A9" s="34" t="s">
        <v>19</v>
      </c>
      <c r="B9" s="35"/>
      <c r="C9" s="35"/>
      <c r="D9" s="35"/>
      <c r="E9" s="35"/>
      <c r="F9" s="36"/>
      <c r="G9" s="37" t="str">
        <f>SUBSTITUTE(SUBSTITUTE(TEXT(INT(M8),"[DBNum2][$-804]G/通用格式元"&amp;IF(INT(M8)=M8,"整",""))&amp;TEXT(MID(M8,FIND(".",M8&amp;".0")+1,1),"[DBNum2][$-804]G/通用格式角")&amp;TEXT(MID(M8,FIND(".",M8&amp;".0")+2,1),"[DBNum2][$-804]G/通用格式分"),"零角","零"),"零分","")</f>
        <v>肆仟零壹拾玖元玖角陆分</v>
      </c>
      <c r="H9" s="38"/>
      <c r="I9" s="38"/>
      <c r="J9" s="38"/>
      <c r="K9" s="38"/>
      <c r="L9" s="38"/>
      <c r="M9" s="39"/>
      <c r="O9" s="20"/>
    </row>
    <row r="10" spans="1:16" ht="36" customHeight="1">
      <c r="A10" s="40" t="s">
        <v>20</v>
      </c>
      <c r="B10" s="41"/>
      <c r="C10" s="41"/>
      <c r="D10" s="41"/>
      <c r="E10" s="41"/>
      <c r="F10" s="41"/>
      <c r="G10" s="40" t="s">
        <v>21</v>
      </c>
      <c r="H10" s="41"/>
      <c r="I10" s="41"/>
      <c r="J10" s="41"/>
      <c r="K10" s="41"/>
      <c r="L10" s="41"/>
      <c r="M10" s="42"/>
      <c r="N10" s="20"/>
      <c r="O10" s="20"/>
    </row>
    <row r="11" spans="1:16" ht="24" customHeight="1">
      <c r="A11" s="43" t="s">
        <v>22</v>
      </c>
      <c r="B11" s="44"/>
      <c r="C11" s="44"/>
      <c r="D11" s="44"/>
      <c r="E11" s="44"/>
      <c r="F11" s="44"/>
      <c r="G11" s="43" t="s">
        <v>23</v>
      </c>
      <c r="H11" s="44"/>
      <c r="I11" s="44"/>
      <c r="J11" s="44"/>
      <c r="K11" s="44"/>
      <c r="L11" s="44"/>
      <c r="M11" s="45"/>
      <c r="N11" s="20"/>
      <c r="O11" s="20"/>
    </row>
    <row r="12" spans="1:16" ht="24" customHeight="1">
      <c r="A12" s="43" t="s">
        <v>24</v>
      </c>
      <c r="B12" s="44"/>
      <c r="C12" s="44"/>
      <c r="D12" s="44"/>
      <c r="E12" s="44"/>
      <c r="F12" s="44"/>
      <c r="G12" s="43" t="s">
        <v>25</v>
      </c>
      <c r="H12" s="44"/>
      <c r="I12" s="44"/>
      <c r="J12" s="44"/>
      <c r="K12" s="44"/>
      <c r="L12" s="44"/>
      <c r="M12" s="45"/>
      <c r="O12" s="20"/>
    </row>
    <row r="13" spans="1:16" ht="24" customHeight="1">
      <c r="A13" s="46" t="s">
        <v>26</v>
      </c>
      <c r="B13" s="47"/>
      <c r="C13" s="47"/>
      <c r="D13" s="47"/>
      <c r="E13" s="47"/>
      <c r="F13" s="47"/>
      <c r="G13" s="46" t="s">
        <v>27</v>
      </c>
      <c r="H13" s="47"/>
      <c r="I13" s="47"/>
      <c r="J13" s="47"/>
      <c r="K13" s="47"/>
      <c r="L13" s="47"/>
      <c r="M13" s="48"/>
      <c r="P13" s="20"/>
    </row>
    <row r="14" spans="1:16" ht="24" customHeight="1">
      <c r="A14" s="49" t="s">
        <v>28</v>
      </c>
      <c r="B14" s="50"/>
      <c r="C14" s="50"/>
      <c r="D14" s="50"/>
      <c r="E14" s="50"/>
      <c r="F14" s="51"/>
      <c r="G14" s="49" t="s">
        <v>29</v>
      </c>
      <c r="H14" s="50"/>
      <c r="I14" s="50"/>
      <c r="J14" s="50"/>
      <c r="K14" s="50"/>
      <c r="L14" s="50"/>
      <c r="M14" s="51"/>
    </row>
    <row r="15" spans="1:16" ht="24" customHeight="1">
      <c r="A15" s="66" t="s">
        <v>30</v>
      </c>
      <c r="B15" s="67"/>
      <c r="C15" s="67"/>
      <c r="D15" s="67"/>
      <c r="E15" s="67"/>
      <c r="F15" s="68"/>
      <c r="G15" s="52" t="s">
        <v>31</v>
      </c>
      <c r="H15" s="53"/>
      <c r="I15" s="53"/>
      <c r="J15" s="54"/>
      <c r="K15" s="54"/>
      <c r="L15" s="54"/>
      <c r="M15" s="55"/>
    </row>
    <row r="16" spans="1:16" ht="24" customHeight="1">
      <c r="A16" s="56"/>
      <c r="B16" s="57"/>
      <c r="C16" s="57"/>
      <c r="D16" s="57"/>
      <c r="E16" s="57"/>
      <c r="F16" s="58"/>
      <c r="G16" s="56" t="s">
        <v>32</v>
      </c>
      <c r="H16" s="57"/>
      <c r="I16" s="57"/>
      <c r="J16" s="57"/>
      <c r="K16" s="57"/>
      <c r="L16" s="57"/>
      <c r="M16" s="58"/>
    </row>
    <row r="17" spans="1:13" ht="24" customHeight="1">
      <c r="A17" s="56"/>
      <c r="B17" s="57"/>
      <c r="C17" s="57"/>
      <c r="D17" s="57"/>
      <c r="E17" s="57"/>
      <c r="F17" s="58"/>
      <c r="G17" s="59" t="s">
        <v>33</v>
      </c>
      <c r="H17" s="60"/>
      <c r="I17" s="60"/>
      <c r="J17" s="60"/>
      <c r="K17" s="60"/>
      <c r="L17" s="60"/>
      <c r="M17" s="61"/>
    </row>
    <row r="18" spans="1:13" ht="24" customHeight="1">
      <c r="A18" s="56"/>
      <c r="B18" s="57"/>
      <c r="C18" s="57"/>
      <c r="D18" s="57"/>
      <c r="E18" s="57"/>
      <c r="F18" s="58"/>
      <c r="G18" s="59" t="s">
        <v>34</v>
      </c>
      <c r="H18" s="60"/>
      <c r="I18" s="60"/>
      <c r="J18" s="60"/>
      <c r="K18" s="60"/>
      <c r="L18" s="60"/>
      <c r="M18" s="61"/>
    </row>
    <row r="19" spans="1:13" ht="24" customHeight="1">
      <c r="A19" s="56"/>
      <c r="B19" s="57"/>
      <c r="C19" s="57"/>
      <c r="D19" s="57"/>
      <c r="E19" s="57"/>
      <c r="F19" s="58"/>
      <c r="G19" s="69" t="s">
        <v>35</v>
      </c>
      <c r="H19" s="70"/>
      <c r="I19" s="70"/>
      <c r="J19" s="71"/>
      <c r="K19" s="71"/>
      <c r="L19" s="71"/>
      <c r="M19" s="72"/>
    </row>
    <row r="20" spans="1:13" ht="24" customHeight="1">
      <c r="A20" s="56"/>
      <c r="B20" s="57"/>
      <c r="C20" s="57"/>
      <c r="D20" s="57"/>
      <c r="E20" s="57"/>
      <c r="F20" s="58"/>
      <c r="G20" s="73"/>
      <c r="H20" s="74"/>
      <c r="I20" s="74"/>
      <c r="J20" s="75"/>
      <c r="K20" s="75"/>
      <c r="L20" s="75"/>
      <c r="M20" s="76"/>
    </row>
    <row r="21" spans="1:13" ht="24" customHeight="1">
      <c r="A21" s="56"/>
      <c r="B21" s="57"/>
      <c r="C21" s="57"/>
      <c r="D21" s="57"/>
      <c r="E21" s="57"/>
      <c r="F21" s="58"/>
      <c r="G21" s="73"/>
      <c r="H21" s="74"/>
      <c r="I21" s="74"/>
      <c r="J21" s="75"/>
      <c r="K21" s="75"/>
      <c r="L21" s="75"/>
      <c r="M21" s="76"/>
    </row>
    <row r="22" spans="1:13" ht="13.5">
      <c r="A22" s="56"/>
      <c r="B22" s="57"/>
      <c r="C22" s="57"/>
      <c r="D22" s="57"/>
      <c r="E22" s="57"/>
      <c r="F22" s="58"/>
      <c r="G22" s="73"/>
      <c r="H22" s="74"/>
      <c r="I22" s="74"/>
      <c r="J22" s="75"/>
      <c r="K22" s="75"/>
      <c r="L22" s="75"/>
      <c r="M22" s="76"/>
    </row>
    <row r="23" spans="1:13" ht="24" customHeight="1">
      <c r="A23" s="62" t="s">
        <v>35</v>
      </c>
      <c r="B23" s="63"/>
      <c r="C23" s="64"/>
      <c r="D23" s="64"/>
      <c r="E23" s="64"/>
      <c r="F23" s="65"/>
      <c r="G23" s="77"/>
      <c r="H23" s="78"/>
      <c r="I23" s="78"/>
      <c r="J23" s="79"/>
      <c r="K23" s="79"/>
      <c r="L23" s="79"/>
      <c r="M23" s="80"/>
    </row>
  </sheetData>
  <sheetProtection formatCells="0" formatColumns="0" formatRows="0" insertColumns="0" insertRows="0" insertHyperlinks="0" deleteColumns="0" deleteRows="0" sort="0" autoFilter="0" pivotTables="0"/>
  <autoFilter ref="A3:M23" xr:uid="{00000000-0009-0000-0000-000000000000}"/>
  <mergeCells count="23">
    <mergeCell ref="G16:M16"/>
    <mergeCell ref="G17:M17"/>
    <mergeCell ref="G18:M18"/>
    <mergeCell ref="A23:F23"/>
    <mergeCell ref="A15:F22"/>
    <mergeCell ref="G19:M23"/>
    <mergeCell ref="A13:F13"/>
    <mergeCell ref="G13:M13"/>
    <mergeCell ref="A14:F14"/>
    <mergeCell ref="G14:M14"/>
    <mergeCell ref="G15:M15"/>
    <mergeCell ref="A10:F10"/>
    <mergeCell ref="G10:M10"/>
    <mergeCell ref="A11:F11"/>
    <mergeCell ref="G11:M11"/>
    <mergeCell ref="A12:F12"/>
    <mergeCell ref="G12:M12"/>
    <mergeCell ref="A1:M1"/>
    <mergeCell ref="A2:M2"/>
    <mergeCell ref="A8:C8"/>
    <mergeCell ref="J8:L8"/>
    <mergeCell ref="A9:F9"/>
    <mergeCell ref="G9:M9"/>
  </mergeCells>
  <phoneticPr fontId="9" type="noConversion"/>
  <pageMargins left="0.27500000000000002" right="0.156944444444444" top="0.70833333333333304" bottom="0.47222222222222199" header="0.3" footer="0.3"/>
  <pageSetup scale="62" orientation="landscape" blackAndWhite="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2"/>
  <sheetViews>
    <sheetView workbookViewId="0">
      <selection activeCell="E18" sqref="E18"/>
    </sheetView>
  </sheetViews>
  <sheetFormatPr defaultColWidth="9" defaultRowHeight="15"/>
  <cols>
    <col min="1" max="2" width="19.7109375" bestFit="1" customWidth="1"/>
    <col min="3" max="3" width="29.85546875" bestFit="1" customWidth="1"/>
    <col min="4" max="4" width="9.7109375" bestFit="1" customWidth="1"/>
    <col min="5" max="5" width="24" bestFit="1" customWidth="1"/>
    <col min="6" max="8" width="7.7109375" bestFit="1" customWidth="1"/>
    <col min="9" max="9" width="9.7109375" bestFit="1" customWidth="1"/>
    <col min="10" max="14" width="7.7109375" bestFit="1" customWidth="1"/>
    <col min="15" max="15" width="30.42578125" bestFit="1" customWidth="1"/>
  </cols>
  <sheetData>
    <row r="1" spans="1:15" s="1" customFormat="1" ht="75">
      <c r="A1" s="81" t="s">
        <v>36</v>
      </c>
      <c r="B1" s="81" t="s">
        <v>37</v>
      </c>
      <c r="C1" s="81" t="s">
        <v>38</v>
      </c>
      <c r="D1" s="81" t="s">
        <v>39</v>
      </c>
      <c r="E1" s="81" t="s">
        <v>40</v>
      </c>
      <c r="F1" s="81" t="s">
        <v>41</v>
      </c>
      <c r="G1" s="81" t="s">
        <v>42</v>
      </c>
      <c r="H1" s="81" t="s">
        <v>43</v>
      </c>
      <c r="I1" s="81" t="s">
        <v>44</v>
      </c>
      <c r="J1" s="81" t="s">
        <v>45</v>
      </c>
      <c r="K1" s="81" t="s">
        <v>46</v>
      </c>
      <c r="L1" s="81" t="s">
        <v>47</v>
      </c>
      <c r="M1" s="2" t="s">
        <v>48</v>
      </c>
      <c r="N1" s="81" t="s">
        <v>49</v>
      </c>
      <c r="O1" s="81" t="s">
        <v>50</v>
      </c>
    </row>
    <row r="2" spans="1:15" s="1" customFormat="1">
      <c r="A2" s="3">
        <v>45992.4452662037</v>
      </c>
      <c r="B2" s="3">
        <v>45992.4452662037</v>
      </c>
      <c r="C2" s="4" t="s">
        <v>54</v>
      </c>
      <c r="D2" s="4">
        <v>19094911</v>
      </c>
      <c r="E2" s="4" t="s">
        <v>15</v>
      </c>
      <c r="F2" s="4">
        <v>648</v>
      </c>
      <c r="G2" s="4">
        <v>648</v>
      </c>
      <c r="H2" s="4">
        <v>0</v>
      </c>
      <c r="I2" s="4">
        <v>0</v>
      </c>
      <c r="J2" s="4">
        <v>648</v>
      </c>
      <c r="K2" s="4">
        <v>0</v>
      </c>
      <c r="L2" s="4">
        <v>648</v>
      </c>
      <c r="M2" s="5">
        <v>648</v>
      </c>
      <c r="N2" s="4">
        <v>0</v>
      </c>
      <c r="O2" s="4" t="s">
        <v>51</v>
      </c>
    </row>
    <row r="3" spans="1:15" s="1" customFormat="1">
      <c r="A3" s="3">
        <v>45992.453310185185</v>
      </c>
      <c r="B3" s="3">
        <v>45992.453310185185</v>
      </c>
      <c r="C3" s="4" t="s">
        <v>55</v>
      </c>
      <c r="D3" s="4">
        <v>20319778</v>
      </c>
      <c r="E3" s="4" t="s">
        <v>15</v>
      </c>
      <c r="F3" s="4">
        <v>648</v>
      </c>
      <c r="G3" s="4">
        <v>648</v>
      </c>
      <c r="H3" s="4">
        <v>0</v>
      </c>
      <c r="I3" s="4">
        <v>0</v>
      </c>
      <c r="J3" s="4">
        <v>648</v>
      </c>
      <c r="K3" s="4">
        <v>0</v>
      </c>
      <c r="L3" s="4">
        <v>648</v>
      </c>
      <c r="M3" s="5">
        <v>648</v>
      </c>
      <c r="N3" s="4">
        <v>0</v>
      </c>
      <c r="O3" s="4" t="s">
        <v>51</v>
      </c>
    </row>
    <row r="4" spans="1:15" s="1" customFormat="1">
      <c r="A4" s="3">
        <v>45992.778229166666</v>
      </c>
      <c r="B4" s="3">
        <v>45992.778229166666</v>
      </c>
      <c r="C4" s="4" t="s">
        <v>56</v>
      </c>
      <c r="D4" s="4">
        <v>20320061</v>
      </c>
      <c r="E4" s="4" t="s">
        <v>15</v>
      </c>
      <c r="F4" s="4">
        <v>648</v>
      </c>
      <c r="G4" s="4">
        <v>648</v>
      </c>
      <c r="H4" s="4">
        <v>0</v>
      </c>
      <c r="I4" s="4">
        <v>0</v>
      </c>
      <c r="J4" s="4">
        <v>648</v>
      </c>
      <c r="K4" s="4">
        <v>0</v>
      </c>
      <c r="L4" s="4">
        <v>648</v>
      </c>
      <c r="M4" s="5">
        <v>648</v>
      </c>
      <c r="N4" s="4">
        <v>0</v>
      </c>
      <c r="O4" s="4" t="s">
        <v>51</v>
      </c>
    </row>
    <row r="5" spans="1:15" s="1" customFormat="1">
      <c r="A5" s="3">
        <v>45992.921446759261</v>
      </c>
      <c r="B5" s="3">
        <v>45992.921446759261</v>
      </c>
      <c r="C5" s="4" t="s">
        <v>57</v>
      </c>
      <c r="D5" s="4">
        <v>20313829</v>
      </c>
      <c r="E5" s="4" t="s">
        <v>15</v>
      </c>
      <c r="F5" s="4">
        <v>648</v>
      </c>
      <c r="G5" s="4">
        <v>648</v>
      </c>
      <c r="H5" s="4">
        <v>0</v>
      </c>
      <c r="I5" s="4">
        <v>0</v>
      </c>
      <c r="J5" s="4">
        <v>648</v>
      </c>
      <c r="K5" s="4">
        <v>0</v>
      </c>
      <c r="L5" s="4">
        <v>648</v>
      </c>
      <c r="M5" s="5">
        <v>648</v>
      </c>
      <c r="N5" s="4">
        <v>0</v>
      </c>
      <c r="O5" s="4" t="s">
        <v>51</v>
      </c>
    </row>
    <row r="6" spans="1:15" s="1" customFormat="1">
      <c r="A6" s="3">
        <v>45992.981678240743</v>
      </c>
      <c r="B6" s="3">
        <v>45992.981678240743</v>
      </c>
      <c r="C6" s="4" t="s">
        <v>58</v>
      </c>
      <c r="D6" s="4">
        <v>12547938</v>
      </c>
      <c r="E6" s="4" t="s">
        <v>16</v>
      </c>
      <c r="F6" s="4">
        <v>648</v>
      </c>
      <c r="G6" s="4">
        <v>648</v>
      </c>
      <c r="H6" s="4">
        <v>0</v>
      </c>
      <c r="I6" s="4">
        <v>0</v>
      </c>
      <c r="J6" s="4">
        <v>648</v>
      </c>
      <c r="K6" s="4">
        <v>0</v>
      </c>
      <c r="L6" s="4">
        <v>648</v>
      </c>
      <c r="M6" s="5">
        <v>648</v>
      </c>
      <c r="N6" s="4">
        <v>0</v>
      </c>
      <c r="O6" s="4" t="s">
        <v>51</v>
      </c>
    </row>
    <row r="7" spans="1:15" s="1" customFormat="1">
      <c r="A7" s="3">
        <v>45993.0000462963</v>
      </c>
      <c r="B7" s="3">
        <v>45993.0000462963</v>
      </c>
      <c r="C7" s="4" t="s">
        <v>59</v>
      </c>
      <c r="D7" s="4">
        <v>20210974</v>
      </c>
      <c r="E7" s="4" t="s">
        <v>15</v>
      </c>
      <c r="F7" s="4">
        <v>648</v>
      </c>
      <c r="G7" s="4">
        <v>648</v>
      </c>
      <c r="H7" s="4">
        <v>0</v>
      </c>
      <c r="I7" s="4">
        <v>0</v>
      </c>
      <c r="J7" s="4">
        <v>648</v>
      </c>
      <c r="K7" s="4">
        <v>0</v>
      </c>
      <c r="L7" s="4">
        <v>648</v>
      </c>
      <c r="M7" s="5">
        <v>648</v>
      </c>
      <c r="N7" s="4">
        <v>0</v>
      </c>
      <c r="O7" s="4" t="s">
        <v>51</v>
      </c>
    </row>
    <row r="8" spans="1:15" s="1" customFormat="1">
      <c r="A8" s="3">
        <v>45993.059664351851</v>
      </c>
      <c r="B8" s="3">
        <v>45993.059664351851</v>
      </c>
      <c r="C8" s="4" t="s">
        <v>60</v>
      </c>
      <c r="D8" s="4">
        <v>20320636</v>
      </c>
      <c r="E8" s="4" t="s">
        <v>15</v>
      </c>
      <c r="F8" s="4">
        <v>648</v>
      </c>
      <c r="G8" s="4">
        <v>648</v>
      </c>
      <c r="H8" s="4">
        <v>0</v>
      </c>
      <c r="I8" s="4">
        <v>0</v>
      </c>
      <c r="J8" s="4">
        <v>648</v>
      </c>
      <c r="K8" s="4">
        <v>0</v>
      </c>
      <c r="L8" s="4">
        <v>648</v>
      </c>
      <c r="M8" s="5">
        <v>648</v>
      </c>
      <c r="N8" s="4">
        <v>0</v>
      </c>
      <c r="O8" s="4" t="s">
        <v>51</v>
      </c>
    </row>
    <row r="9" spans="1:15" s="1" customFormat="1">
      <c r="A9" s="3">
        <v>45993.343275462961</v>
      </c>
      <c r="B9" s="3">
        <v>45993.343275462961</v>
      </c>
      <c r="C9" s="4" t="s">
        <v>61</v>
      </c>
      <c r="D9" s="4">
        <v>13783436</v>
      </c>
      <c r="E9" s="4" t="s">
        <v>15</v>
      </c>
      <c r="F9" s="4">
        <v>648</v>
      </c>
      <c r="G9" s="4">
        <v>648</v>
      </c>
      <c r="H9" s="4">
        <v>0</v>
      </c>
      <c r="I9" s="4">
        <v>0</v>
      </c>
      <c r="J9" s="4">
        <v>648</v>
      </c>
      <c r="K9" s="4">
        <v>0</v>
      </c>
      <c r="L9" s="4">
        <v>648</v>
      </c>
      <c r="M9" s="5">
        <v>648</v>
      </c>
      <c r="N9" s="4">
        <v>0</v>
      </c>
      <c r="O9" s="4" t="s">
        <v>51</v>
      </c>
    </row>
    <row r="10" spans="1:15" s="1" customFormat="1">
      <c r="A10" s="3">
        <v>45993.371134259258</v>
      </c>
      <c r="B10" s="3">
        <v>45993.371134259258</v>
      </c>
      <c r="C10" s="4" t="s">
        <v>62</v>
      </c>
      <c r="D10" s="4">
        <v>20320790</v>
      </c>
      <c r="E10" s="4" t="s">
        <v>15</v>
      </c>
      <c r="F10" s="4">
        <v>648</v>
      </c>
      <c r="G10" s="4">
        <v>648</v>
      </c>
      <c r="H10" s="4">
        <v>0</v>
      </c>
      <c r="I10" s="4">
        <v>0</v>
      </c>
      <c r="J10" s="4">
        <v>648</v>
      </c>
      <c r="K10" s="4">
        <v>0</v>
      </c>
      <c r="L10" s="4">
        <v>648</v>
      </c>
      <c r="M10" s="5">
        <v>648</v>
      </c>
      <c r="N10" s="4">
        <v>0</v>
      </c>
      <c r="O10" s="4" t="s">
        <v>51</v>
      </c>
    </row>
    <row r="11" spans="1:15" s="1" customFormat="1">
      <c r="A11" s="3">
        <v>45993.430138888885</v>
      </c>
      <c r="B11" s="3">
        <v>45993.430138888885</v>
      </c>
      <c r="C11" s="4" t="s">
        <v>63</v>
      </c>
      <c r="D11" s="4">
        <v>20279776</v>
      </c>
      <c r="E11" s="4" t="s">
        <v>15</v>
      </c>
      <c r="F11" s="4">
        <v>648</v>
      </c>
      <c r="G11" s="4">
        <v>648</v>
      </c>
      <c r="H11" s="4">
        <v>0</v>
      </c>
      <c r="I11" s="4">
        <v>0</v>
      </c>
      <c r="J11" s="4">
        <v>648</v>
      </c>
      <c r="K11" s="4">
        <v>0</v>
      </c>
      <c r="L11" s="4">
        <v>648</v>
      </c>
      <c r="M11" s="5">
        <v>648</v>
      </c>
      <c r="N11" s="4">
        <v>0</v>
      </c>
      <c r="O11" s="4" t="s">
        <v>51</v>
      </c>
    </row>
    <row r="12" spans="1:15" s="1" customFormat="1">
      <c r="A12" s="3">
        <v>45993.49496527778</v>
      </c>
      <c r="B12" s="3">
        <v>45993.49496527778</v>
      </c>
      <c r="C12" s="4" t="s">
        <v>64</v>
      </c>
      <c r="D12" s="4">
        <v>20313380</v>
      </c>
      <c r="E12" s="4" t="s">
        <v>15</v>
      </c>
      <c r="F12" s="4">
        <v>648</v>
      </c>
      <c r="G12" s="4">
        <v>648</v>
      </c>
      <c r="H12" s="4">
        <v>0</v>
      </c>
      <c r="I12" s="4">
        <v>0</v>
      </c>
      <c r="J12" s="4">
        <v>648</v>
      </c>
      <c r="K12" s="4">
        <v>0</v>
      </c>
      <c r="L12" s="4">
        <v>648</v>
      </c>
      <c r="M12" s="5">
        <v>648</v>
      </c>
      <c r="N12" s="4">
        <v>0</v>
      </c>
      <c r="O12" s="4" t="s">
        <v>51</v>
      </c>
    </row>
    <row r="13" spans="1:15" s="1" customFormat="1">
      <c r="A13" s="3">
        <v>45993.785844907405</v>
      </c>
      <c r="B13" s="3">
        <v>45993.785844907405</v>
      </c>
      <c r="C13" s="4" t="s">
        <v>65</v>
      </c>
      <c r="D13" s="4">
        <v>13648731</v>
      </c>
      <c r="E13" s="4" t="s">
        <v>15</v>
      </c>
      <c r="F13" s="4">
        <v>648</v>
      </c>
      <c r="G13" s="4">
        <v>648</v>
      </c>
      <c r="H13" s="4">
        <v>0</v>
      </c>
      <c r="I13" s="4">
        <v>0</v>
      </c>
      <c r="J13" s="4">
        <v>648</v>
      </c>
      <c r="K13" s="4">
        <v>0</v>
      </c>
      <c r="L13" s="4">
        <v>648</v>
      </c>
      <c r="M13" s="5">
        <v>648</v>
      </c>
      <c r="N13" s="4">
        <v>0</v>
      </c>
      <c r="O13" s="4" t="s">
        <v>51</v>
      </c>
    </row>
    <row r="14" spans="1:15" s="1" customFormat="1">
      <c r="A14" s="3">
        <v>45993.818773148145</v>
      </c>
      <c r="B14" s="3">
        <v>45993.818773148145</v>
      </c>
      <c r="C14" s="4" t="s">
        <v>66</v>
      </c>
      <c r="D14" s="4">
        <v>20181728</v>
      </c>
      <c r="E14" s="4" t="s">
        <v>15</v>
      </c>
      <c r="F14" s="4">
        <v>648</v>
      </c>
      <c r="G14" s="4">
        <v>648</v>
      </c>
      <c r="H14" s="4">
        <v>0</v>
      </c>
      <c r="I14" s="4">
        <v>0</v>
      </c>
      <c r="J14" s="4">
        <v>648</v>
      </c>
      <c r="K14" s="4">
        <v>0</v>
      </c>
      <c r="L14" s="4">
        <v>648</v>
      </c>
      <c r="M14" s="5">
        <v>648</v>
      </c>
      <c r="N14" s="4">
        <v>0</v>
      </c>
      <c r="O14" s="4" t="s">
        <v>51</v>
      </c>
    </row>
    <row r="15" spans="1:15" s="1" customFormat="1">
      <c r="A15" s="3">
        <v>45993.835949074077</v>
      </c>
      <c r="B15" s="3">
        <v>45993.835949074077</v>
      </c>
      <c r="C15" s="4" t="s">
        <v>67</v>
      </c>
      <c r="D15" s="4">
        <v>20321394</v>
      </c>
      <c r="E15" s="4" t="s">
        <v>15</v>
      </c>
      <c r="F15" s="4">
        <v>648</v>
      </c>
      <c r="G15" s="4">
        <v>648</v>
      </c>
      <c r="H15" s="4">
        <v>0</v>
      </c>
      <c r="I15" s="4">
        <v>0</v>
      </c>
      <c r="J15" s="4">
        <v>648</v>
      </c>
      <c r="K15" s="4">
        <v>0</v>
      </c>
      <c r="L15" s="4">
        <v>648</v>
      </c>
      <c r="M15" s="5">
        <v>648</v>
      </c>
      <c r="N15" s="4">
        <v>0</v>
      </c>
      <c r="O15" s="4" t="s">
        <v>51</v>
      </c>
    </row>
    <row r="16" spans="1:15" s="1" customFormat="1">
      <c r="A16" s="3">
        <v>45994.011805555558</v>
      </c>
      <c r="B16" s="3">
        <v>45994.01190972222</v>
      </c>
      <c r="C16" s="4" t="s">
        <v>68</v>
      </c>
      <c r="D16" s="4">
        <v>20321697</v>
      </c>
      <c r="E16" s="4" t="s">
        <v>15</v>
      </c>
      <c r="F16" s="4">
        <v>1296</v>
      </c>
      <c r="G16" s="4">
        <v>648</v>
      </c>
      <c r="H16" s="4">
        <v>0</v>
      </c>
      <c r="I16" s="4">
        <v>644.76</v>
      </c>
      <c r="J16" s="4">
        <v>651.24</v>
      </c>
      <c r="K16" s="4">
        <v>0</v>
      </c>
      <c r="L16" s="4">
        <v>648</v>
      </c>
      <c r="M16" s="5">
        <v>648</v>
      </c>
      <c r="N16" s="4">
        <v>3.24</v>
      </c>
      <c r="O16" s="4" t="s">
        <v>51</v>
      </c>
    </row>
    <row r="17" spans="1:15" s="1" customFormat="1">
      <c r="A17" s="3">
        <v>45994.090613425928</v>
      </c>
      <c r="B17" s="3">
        <v>45994.090613425928</v>
      </c>
      <c r="C17" s="4" t="s">
        <v>69</v>
      </c>
      <c r="D17" s="4">
        <v>20264667</v>
      </c>
      <c r="E17" s="4" t="s">
        <v>15</v>
      </c>
      <c r="F17" s="4">
        <v>648</v>
      </c>
      <c r="G17" s="4">
        <v>648</v>
      </c>
      <c r="H17" s="4">
        <v>0</v>
      </c>
      <c r="I17" s="4">
        <v>0</v>
      </c>
      <c r="J17" s="4">
        <v>648</v>
      </c>
      <c r="K17" s="4">
        <v>0</v>
      </c>
      <c r="L17" s="4">
        <v>648</v>
      </c>
      <c r="M17" s="5">
        <v>648</v>
      </c>
      <c r="N17" s="4">
        <v>0</v>
      </c>
      <c r="O17" s="4" t="s">
        <v>51</v>
      </c>
    </row>
    <row r="18" spans="1:15" s="1" customFormat="1">
      <c r="A18" s="3">
        <v>45994.181354166663</v>
      </c>
      <c r="B18" s="3">
        <v>45994.181354166663</v>
      </c>
      <c r="C18" s="4" t="s">
        <v>70</v>
      </c>
      <c r="D18" s="4">
        <v>20321828</v>
      </c>
      <c r="E18" s="4" t="s">
        <v>15</v>
      </c>
      <c r="F18" s="4">
        <v>648</v>
      </c>
      <c r="G18" s="4">
        <v>648</v>
      </c>
      <c r="H18" s="4">
        <v>0</v>
      </c>
      <c r="I18" s="4">
        <v>0</v>
      </c>
      <c r="J18" s="4">
        <v>648</v>
      </c>
      <c r="K18" s="4">
        <v>0</v>
      </c>
      <c r="L18" s="4">
        <v>648</v>
      </c>
      <c r="M18" s="5">
        <v>648</v>
      </c>
      <c r="N18" s="4">
        <v>0</v>
      </c>
      <c r="O18" s="4" t="s">
        <v>51</v>
      </c>
    </row>
    <row r="19" spans="1:15" s="1" customFormat="1">
      <c r="A19" s="3">
        <v>45994.285451388889</v>
      </c>
      <c r="B19" s="3">
        <v>45994.285451388889</v>
      </c>
      <c r="C19" s="4" t="s">
        <v>71</v>
      </c>
      <c r="D19" s="4">
        <v>20299571</v>
      </c>
      <c r="E19" s="4" t="s">
        <v>15</v>
      </c>
      <c r="F19" s="4">
        <v>648</v>
      </c>
      <c r="G19" s="4">
        <v>648</v>
      </c>
      <c r="H19" s="4">
        <v>0</v>
      </c>
      <c r="I19" s="4">
        <v>0</v>
      </c>
      <c r="J19" s="4">
        <v>648</v>
      </c>
      <c r="K19" s="4">
        <v>0</v>
      </c>
      <c r="L19" s="4">
        <v>648</v>
      </c>
      <c r="M19" s="5">
        <v>648</v>
      </c>
      <c r="N19" s="4">
        <v>0</v>
      </c>
      <c r="O19" s="4" t="s">
        <v>51</v>
      </c>
    </row>
    <row r="20" spans="1:15" s="1" customFormat="1">
      <c r="A20" s="3">
        <v>45994.439826388887</v>
      </c>
      <c r="B20" s="3">
        <v>45994.439826388887</v>
      </c>
      <c r="C20" s="4" t="s">
        <v>72</v>
      </c>
      <c r="D20" s="4">
        <v>20320338</v>
      </c>
      <c r="E20" s="4" t="s">
        <v>15</v>
      </c>
      <c r="F20" s="4">
        <v>648</v>
      </c>
      <c r="G20" s="4">
        <v>648</v>
      </c>
      <c r="H20" s="4">
        <v>0</v>
      </c>
      <c r="I20" s="4">
        <v>0</v>
      </c>
      <c r="J20" s="4">
        <v>648</v>
      </c>
      <c r="K20" s="4">
        <v>0</v>
      </c>
      <c r="L20" s="4">
        <v>648</v>
      </c>
      <c r="M20" s="5">
        <v>648</v>
      </c>
      <c r="N20" s="4">
        <v>0</v>
      </c>
      <c r="O20" s="4" t="s">
        <v>51</v>
      </c>
    </row>
    <row r="21" spans="1:15" s="1" customFormat="1">
      <c r="A21" s="3">
        <v>45994.600219907406</v>
      </c>
      <c r="B21" s="3">
        <v>45994.600219907406</v>
      </c>
      <c r="C21" s="4" t="s">
        <v>73</v>
      </c>
      <c r="D21" s="4">
        <v>13287124</v>
      </c>
      <c r="E21" s="4" t="s">
        <v>16</v>
      </c>
      <c r="F21" s="4">
        <v>648</v>
      </c>
      <c r="G21" s="4">
        <v>648</v>
      </c>
      <c r="H21" s="4">
        <v>0</v>
      </c>
      <c r="I21" s="4">
        <v>0</v>
      </c>
      <c r="J21" s="4">
        <v>648</v>
      </c>
      <c r="K21" s="4">
        <v>0</v>
      </c>
      <c r="L21" s="4">
        <v>648</v>
      </c>
      <c r="M21" s="5">
        <v>648</v>
      </c>
      <c r="N21" s="4">
        <v>0</v>
      </c>
      <c r="O21" s="4" t="s">
        <v>51</v>
      </c>
    </row>
    <row r="22" spans="1:15" s="1" customFormat="1">
      <c r="A22" s="3">
        <v>45994.635069444441</v>
      </c>
      <c r="B22" s="3">
        <v>45994.635069444441</v>
      </c>
      <c r="C22" s="4" t="s">
        <v>74</v>
      </c>
      <c r="D22" s="4">
        <v>20322209</v>
      </c>
      <c r="E22" s="4" t="s">
        <v>15</v>
      </c>
      <c r="F22" s="4">
        <v>648</v>
      </c>
      <c r="G22" s="4">
        <v>648</v>
      </c>
      <c r="H22" s="4">
        <v>0</v>
      </c>
      <c r="I22" s="4">
        <v>0</v>
      </c>
      <c r="J22" s="4">
        <v>648</v>
      </c>
      <c r="K22" s="4">
        <v>0</v>
      </c>
      <c r="L22" s="4">
        <v>648</v>
      </c>
      <c r="M22" s="5">
        <v>648</v>
      </c>
      <c r="N22" s="4">
        <v>0</v>
      </c>
      <c r="O22" s="4" t="s">
        <v>51</v>
      </c>
    </row>
    <row r="23" spans="1:15" s="1" customFormat="1">
      <c r="A23" s="3">
        <v>45994.703703703701</v>
      </c>
      <c r="B23" s="3">
        <v>45994.703703703701</v>
      </c>
      <c r="C23" s="4" t="s">
        <v>75</v>
      </c>
      <c r="D23" s="4">
        <v>15712504</v>
      </c>
      <c r="E23" s="4" t="s">
        <v>15</v>
      </c>
      <c r="F23" s="4">
        <v>648</v>
      </c>
      <c r="G23" s="4">
        <v>648</v>
      </c>
      <c r="H23" s="4">
        <v>0</v>
      </c>
      <c r="I23" s="4">
        <v>0</v>
      </c>
      <c r="J23" s="4">
        <v>648</v>
      </c>
      <c r="K23" s="4">
        <v>0</v>
      </c>
      <c r="L23" s="4">
        <v>648</v>
      </c>
      <c r="M23" s="5">
        <v>648</v>
      </c>
      <c r="N23" s="4">
        <v>0</v>
      </c>
      <c r="O23" s="4" t="s">
        <v>51</v>
      </c>
    </row>
    <row r="24" spans="1:15" s="1" customFormat="1">
      <c r="A24" s="3">
        <v>45994.728506944448</v>
      </c>
      <c r="B24" s="3">
        <v>45994.728506944448</v>
      </c>
      <c r="C24" s="4" t="s">
        <v>76</v>
      </c>
      <c r="D24" s="4">
        <v>20322234</v>
      </c>
      <c r="E24" s="4" t="s">
        <v>15</v>
      </c>
      <c r="F24" s="4">
        <v>648</v>
      </c>
      <c r="G24" s="4">
        <v>648</v>
      </c>
      <c r="H24" s="4">
        <v>0</v>
      </c>
      <c r="I24" s="4">
        <v>0</v>
      </c>
      <c r="J24" s="4">
        <v>648</v>
      </c>
      <c r="K24" s="4">
        <v>0</v>
      </c>
      <c r="L24" s="4">
        <v>648</v>
      </c>
      <c r="M24" s="5">
        <v>648</v>
      </c>
      <c r="N24" s="4">
        <v>0</v>
      </c>
      <c r="O24" s="4" t="s">
        <v>51</v>
      </c>
    </row>
    <row r="25" spans="1:15" s="1" customFormat="1">
      <c r="A25" s="3">
        <v>45994.821435185186</v>
      </c>
      <c r="B25" s="3">
        <v>45994.821435185186</v>
      </c>
      <c r="C25" s="4" t="s">
        <v>77</v>
      </c>
      <c r="D25" s="4">
        <v>20322422</v>
      </c>
      <c r="E25" s="4" t="s">
        <v>15</v>
      </c>
      <c r="F25" s="4">
        <v>648</v>
      </c>
      <c r="G25" s="4">
        <v>648</v>
      </c>
      <c r="H25" s="4">
        <v>0</v>
      </c>
      <c r="I25" s="4">
        <v>0</v>
      </c>
      <c r="J25" s="4">
        <v>648</v>
      </c>
      <c r="K25" s="4">
        <v>0</v>
      </c>
      <c r="L25" s="4">
        <v>648</v>
      </c>
      <c r="M25" s="5">
        <v>648</v>
      </c>
      <c r="N25" s="4">
        <v>0</v>
      </c>
      <c r="O25" s="4" t="s">
        <v>51</v>
      </c>
    </row>
    <row r="26" spans="1:15" s="1" customFormat="1">
      <c r="A26" s="3">
        <v>45994.854108796295</v>
      </c>
      <c r="B26" s="3">
        <v>45994.854108796295</v>
      </c>
      <c r="C26" s="4" t="s">
        <v>78</v>
      </c>
      <c r="D26" s="4">
        <v>20322497</v>
      </c>
      <c r="E26" s="4" t="s">
        <v>15</v>
      </c>
      <c r="F26" s="4">
        <v>648</v>
      </c>
      <c r="G26" s="4">
        <v>648</v>
      </c>
      <c r="H26" s="4">
        <v>0</v>
      </c>
      <c r="I26" s="4">
        <v>0</v>
      </c>
      <c r="J26" s="4">
        <v>648</v>
      </c>
      <c r="K26" s="4">
        <v>0</v>
      </c>
      <c r="L26" s="4">
        <v>648</v>
      </c>
      <c r="M26" s="5">
        <v>648</v>
      </c>
      <c r="N26" s="4">
        <v>0</v>
      </c>
      <c r="O26" s="4" t="s">
        <v>51</v>
      </c>
    </row>
    <row r="27" spans="1:15" s="1" customFormat="1">
      <c r="A27" s="3">
        <v>45994.919456018521</v>
      </c>
      <c r="B27" s="3">
        <v>45994.919456018521</v>
      </c>
      <c r="C27" s="4" t="s">
        <v>79</v>
      </c>
      <c r="D27" s="4">
        <v>13672204</v>
      </c>
      <c r="E27" s="4" t="s">
        <v>15</v>
      </c>
      <c r="F27" s="4">
        <v>648</v>
      </c>
      <c r="G27" s="4">
        <v>648</v>
      </c>
      <c r="H27" s="4">
        <v>0</v>
      </c>
      <c r="I27" s="4">
        <v>0</v>
      </c>
      <c r="J27" s="4">
        <v>648</v>
      </c>
      <c r="K27" s="4">
        <v>0</v>
      </c>
      <c r="L27" s="4">
        <v>648</v>
      </c>
      <c r="M27" s="5">
        <v>648</v>
      </c>
      <c r="N27" s="4">
        <v>0</v>
      </c>
      <c r="O27" s="4" t="s">
        <v>51</v>
      </c>
    </row>
    <row r="28" spans="1:15" s="1" customFormat="1">
      <c r="A28" s="3">
        <v>45994.957546296297</v>
      </c>
      <c r="B28" s="3">
        <v>45994.957546296297</v>
      </c>
      <c r="C28" s="4" t="s">
        <v>80</v>
      </c>
      <c r="D28" s="4">
        <v>20322628</v>
      </c>
      <c r="E28" s="4" t="s">
        <v>15</v>
      </c>
      <c r="F28" s="4">
        <v>648</v>
      </c>
      <c r="G28" s="4">
        <v>648</v>
      </c>
      <c r="H28" s="4">
        <v>0</v>
      </c>
      <c r="I28" s="4">
        <v>0</v>
      </c>
      <c r="J28" s="4">
        <v>648</v>
      </c>
      <c r="K28" s="4">
        <v>0</v>
      </c>
      <c r="L28" s="4">
        <v>648</v>
      </c>
      <c r="M28" s="5">
        <v>648</v>
      </c>
      <c r="N28" s="4">
        <v>0</v>
      </c>
      <c r="O28" s="4" t="s">
        <v>51</v>
      </c>
    </row>
    <row r="29" spans="1:15" s="1" customFormat="1">
      <c r="A29" s="3">
        <v>45995.009756944448</v>
      </c>
      <c r="B29" s="3">
        <v>45995.009756944448</v>
      </c>
      <c r="C29" s="4" t="s">
        <v>81</v>
      </c>
      <c r="D29" s="4">
        <v>19642107</v>
      </c>
      <c r="E29" s="4" t="s">
        <v>15</v>
      </c>
      <c r="F29" s="4">
        <v>648</v>
      </c>
      <c r="G29" s="4">
        <v>648</v>
      </c>
      <c r="H29" s="4">
        <v>0</v>
      </c>
      <c r="I29" s="4">
        <v>0</v>
      </c>
      <c r="J29" s="4">
        <v>648</v>
      </c>
      <c r="K29" s="4">
        <v>0</v>
      </c>
      <c r="L29" s="4">
        <v>648</v>
      </c>
      <c r="M29" s="5">
        <v>648</v>
      </c>
      <c r="N29" s="4">
        <v>0</v>
      </c>
      <c r="O29" s="4" t="s">
        <v>51</v>
      </c>
    </row>
    <row r="30" spans="1:15" s="1" customFormat="1">
      <c r="A30" s="3">
        <v>45995.01525462963</v>
      </c>
      <c r="B30" s="3">
        <v>45995.01525462963</v>
      </c>
      <c r="C30" s="4" t="s">
        <v>82</v>
      </c>
      <c r="D30" s="4">
        <v>20322832</v>
      </c>
      <c r="E30" s="4" t="s">
        <v>15</v>
      </c>
      <c r="F30" s="4">
        <v>648</v>
      </c>
      <c r="G30" s="4">
        <v>648</v>
      </c>
      <c r="H30" s="4">
        <v>0</v>
      </c>
      <c r="I30" s="4">
        <v>0</v>
      </c>
      <c r="J30" s="4">
        <v>648</v>
      </c>
      <c r="K30" s="4">
        <v>0</v>
      </c>
      <c r="L30" s="4">
        <v>648</v>
      </c>
      <c r="M30" s="5">
        <v>648</v>
      </c>
      <c r="N30" s="4">
        <v>0</v>
      </c>
      <c r="O30" s="4" t="s">
        <v>51</v>
      </c>
    </row>
    <row r="31" spans="1:15" s="1" customFormat="1">
      <c r="A31" s="3">
        <v>45995.072488425925</v>
      </c>
      <c r="B31" s="3">
        <v>45995.072488425925</v>
      </c>
      <c r="C31" s="4" t="s">
        <v>83</v>
      </c>
      <c r="D31" s="4">
        <v>20322862</v>
      </c>
      <c r="E31" s="4" t="s">
        <v>15</v>
      </c>
      <c r="F31" s="4">
        <v>648</v>
      </c>
      <c r="G31" s="4">
        <v>648</v>
      </c>
      <c r="H31" s="4">
        <v>0</v>
      </c>
      <c r="I31" s="4">
        <v>0</v>
      </c>
      <c r="J31" s="4">
        <v>648</v>
      </c>
      <c r="K31" s="4">
        <v>0</v>
      </c>
      <c r="L31" s="4">
        <v>648</v>
      </c>
      <c r="M31" s="5">
        <v>648</v>
      </c>
      <c r="N31" s="4">
        <v>0</v>
      </c>
      <c r="O31" s="4" t="s">
        <v>51</v>
      </c>
    </row>
    <row r="32" spans="1:15" s="1" customFormat="1">
      <c r="A32" s="3">
        <v>45995.373229166667</v>
      </c>
      <c r="B32" s="3">
        <v>45995.373240740744</v>
      </c>
      <c r="C32" s="4" t="s">
        <v>84</v>
      </c>
      <c r="D32" s="4">
        <v>20322789</v>
      </c>
      <c r="E32" s="4" t="s">
        <v>15</v>
      </c>
      <c r="F32" s="4">
        <v>648</v>
      </c>
      <c r="G32" s="4">
        <v>648</v>
      </c>
      <c r="H32" s="4">
        <v>0</v>
      </c>
      <c r="I32" s="4">
        <v>0</v>
      </c>
      <c r="J32" s="4">
        <v>648</v>
      </c>
      <c r="K32" s="4">
        <v>0</v>
      </c>
      <c r="L32" s="4">
        <v>648</v>
      </c>
      <c r="M32" s="5">
        <v>648</v>
      </c>
      <c r="N32" s="4">
        <v>0</v>
      </c>
      <c r="O32" s="4" t="s">
        <v>51</v>
      </c>
    </row>
    <row r="33" spans="1:15" s="1" customFormat="1">
      <c r="A33" s="3">
        <v>45995.585277777776</v>
      </c>
      <c r="B33" s="3">
        <v>45995.585277777776</v>
      </c>
      <c r="C33" s="4" t="s">
        <v>85</v>
      </c>
      <c r="D33" s="4">
        <v>20323339</v>
      </c>
      <c r="E33" s="4" t="s">
        <v>15</v>
      </c>
      <c r="F33" s="4">
        <v>648</v>
      </c>
      <c r="G33" s="4">
        <v>648</v>
      </c>
      <c r="H33" s="4">
        <v>0</v>
      </c>
      <c r="I33" s="4">
        <v>0</v>
      </c>
      <c r="J33" s="4">
        <v>648</v>
      </c>
      <c r="K33" s="4">
        <v>0</v>
      </c>
      <c r="L33" s="4">
        <v>648</v>
      </c>
      <c r="M33" s="5">
        <v>648</v>
      </c>
      <c r="N33" s="4">
        <v>0</v>
      </c>
      <c r="O33" s="4" t="s">
        <v>51</v>
      </c>
    </row>
    <row r="34" spans="1:15" s="1" customFormat="1">
      <c r="A34" s="3">
        <v>45995.605324074073</v>
      </c>
      <c r="B34" s="3">
        <v>45995.605324074073</v>
      </c>
      <c r="C34" s="4" t="s">
        <v>86</v>
      </c>
      <c r="D34" s="4">
        <v>20323384</v>
      </c>
      <c r="E34" s="4" t="s">
        <v>15</v>
      </c>
      <c r="F34" s="4">
        <v>648</v>
      </c>
      <c r="G34" s="4">
        <v>648</v>
      </c>
      <c r="H34" s="4">
        <v>0</v>
      </c>
      <c r="I34" s="4">
        <v>0</v>
      </c>
      <c r="J34" s="4">
        <v>648</v>
      </c>
      <c r="K34" s="4">
        <v>0</v>
      </c>
      <c r="L34" s="4">
        <v>648</v>
      </c>
      <c r="M34" s="5">
        <v>648</v>
      </c>
      <c r="N34" s="4">
        <v>0</v>
      </c>
      <c r="O34" s="4" t="s">
        <v>51</v>
      </c>
    </row>
    <row r="35" spans="1:15" s="1" customFormat="1">
      <c r="A35" s="3">
        <v>45995.741018518522</v>
      </c>
      <c r="B35" s="3">
        <v>45995.741018518522</v>
      </c>
      <c r="C35" s="4" t="s">
        <v>87</v>
      </c>
      <c r="D35" s="4">
        <v>19996367</v>
      </c>
      <c r="E35" s="4" t="s">
        <v>15</v>
      </c>
      <c r="F35" s="4">
        <v>648</v>
      </c>
      <c r="G35" s="4">
        <v>648</v>
      </c>
      <c r="H35" s="4">
        <v>0</v>
      </c>
      <c r="I35" s="4">
        <v>0</v>
      </c>
      <c r="J35" s="4">
        <v>648</v>
      </c>
      <c r="K35" s="4">
        <v>0</v>
      </c>
      <c r="L35" s="4">
        <v>648</v>
      </c>
      <c r="M35" s="5">
        <v>648</v>
      </c>
      <c r="N35" s="4">
        <v>0</v>
      </c>
      <c r="O35" s="4" t="s">
        <v>51</v>
      </c>
    </row>
    <row r="36" spans="1:15" s="1" customFormat="1">
      <c r="A36" s="3">
        <v>45996.026562500003</v>
      </c>
      <c r="B36" s="3">
        <v>45996.026562500003</v>
      </c>
      <c r="C36" s="4" t="s">
        <v>88</v>
      </c>
      <c r="D36" s="4">
        <v>20324043</v>
      </c>
      <c r="E36" s="4" t="s">
        <v>15</v>
      </c>
      <c r="F36" s="4">
        <v>648</v>
      </c>
      <c r="G36" s="4">
        <v>648</v>
      </c>
      <c r="H36" s="4">
        <v>0</v>
      </c>
      <c r="I36" s="4">
        <v>0</v>
      </c>
      <c r="J36" s="4">
        <v>648</v>
      </c>
      <c r="K36" s="4">
        <v>0</v>
      </c>
      <c r="L36" s="4">
        <v>648</v>
      </c>
      <c r="M36" s="5">
        <v>648</v>
      </c>
      <c r="N36" s="4">
        <v>0</v>
      </c>
      <c r="O36" s="4" t="s">
        <v>51</v>
      </c>
    </row>
    <row r="37" spans="1:15" s="1" customFormat="1">
      <c r="A37" s="3">
        <v>45996.045543981483</v>
      </c>
      <c r="B37" s="3">
        <v>45996.045543981483</v>
      </c>
      <c r="C37" s="4" t="s">
        <v>89</v>
      </c>
      <c r="D37" s="4">
        <v>20323220</v>
      </c>
      <c r="E37" s="4" t="s">
        <v>15</v>
      </c>
      <c r="F37" s="4">
        <v>648</v>
      </c>
      <c r="G37" s="4">
        <v>648</v>
      </c>
      <c r="H37" s="4">
        <v>0</v>
      </c>
      <c r="I37" s="4">
        <v>0</v>
      </c>
      <c r="J37" s="4">
        <v>648</v>
      </c>
      <c r="K37" s="4">
        <v>0</v>
      </c>
      <c r="L37" s="4">
        <v>648</v>
      </c>
      <c r="M37" s="5">
        <v>648</v>
      </c>
      <c r="N37" s="4">
        <v>0</v>
      </c>
      <c r="O37" s="4" t="s">
        <v>51</v>
      </c>
    </row>
    <row r="38" spans="1:15" s="1" customFormat="1">
      <c r="A38" s="3">
        <v>45996.635266203702</v>
      </c>
      <c r="B38" s="3">
        <v>45996.635266203702</v>
      </c>
      <c r="C38" s="4" t="s">
        <v>90</v>
      </c>
      <c r="D38" s="4">
        <v>20322908</v>
      </c>
      <c r="E38" s="4" t="s">
        <v>15</v>
      </c>
      <c r="F38" s="4">
        <v>648</v>
      </c>
      <c r="G38" s="4">
        <v>648</v>
      </c>
      <c r="H38" s="4">
        <v>0</v>
      </c>
      <c r="I38" s="4">
        <v>0</v>
      </c>
      <c r="J38" s="4">
        <v>648</v>
      </c>
      <c r="K38" s="4">
        <v>0</v>
      </c>
      <c r="L38" s="4">
        <v>648</v>
      </c>
      <c r="M38" s="5">
        <v>648</v>
      </c>
      <c r="N38" s="4">
        <v>0</v>
      </c>
      <c r="O38" s="4" t="s">
        <v>51</v>
      </c>
    </row>
    <row r="39" spans="1:15" s="1" customFormat="1">
      <c r="A39" s="3">
        <v>45996.94091435185</v>
      </c>
      <c r="B39" s="3">
        <v>45996.94091435185</v>
      </c>
      <c r="C39" s="4" t="s">
        <v>91</v>
      </c>
      <c r="D39" s="4">
        <v>13574278</v>
      </c>
      <c r="E39" s="4" t="s">
        <v>15</v>
      </c>
      <c r="F39" s="4">
        <v>648</v>
      </c>
      <c r="G39" s="4">
        <v>648</v>
      </c>
      <c r="H39" s="4">
        <v>0</v>
      </c>
      <c r="I39" s="4">
        <v>0</v>
      </c>
      <c r="J39" s="4">
        <v>648</v>
      </c>
      <c r="K39" s="4">
        <v>0</v>
      </c>
      <c r="L39" s="4">
        <v>648</v>
      </c>
      <c r="M39" s="5">
        <v>648</v>
      </c>
      <c r="N39" s="4">
        <v>0</v>
      </c>
      <c r="O39" s="4" t="s">
        <v>51</v>
      </c>
    </row>
    <row r="40" spans="1:15" s="1" customFormat="1">
      <c r="A40" s="3">
        <v>45996.997314814813</v>
      </c>
      <c r="B40" s="3">
        <v>45996.997314814813</v>
      </c>
      <c r="C40" s="4" t="s">
        <v>92</v>
      </c>
      <c r="D40" s="4">
        <v>19484361</v>
      </c>
      <c r="E40" s="4" t="s">
        <v>15</v>
      </c>
      <c r="F40" s="4">
        <v>648</v>
      </c>
      <c r="G40" s="4">
        <v>648</v>
      </c>
      <c r="H40" s="4">
        <v>0</v>
      </c>
      <c r="I40" s="4">
        <v>0</v>
      </c>
      <c r="J40" s="4">
        <v>648</v>
      </c>
      <c r="K40" s="4">
        <v>0</v>
      </c>
      <c r="L40" s="4">
        <v>648</v>
      </c>
      <c r="M40" s="5">
        <v>648</v>
      </c>
      <c r="N40" s="4">
        <v>0</v>
      </c>
      <c r="O40" s="4" t="s">
        <v>51</v>
      </c>
    </row>
    <row r="41" spans="1:15" s="1" customFormat="1">
      <c r="A41" s="3">
        <v>45997.424826388888</v>
      </c>
      <c r="B41" s="3">
        <v>45997.424826388888</v>
      </c>
      <c r="C41" s="4" t="s">
        <v>93</v>
      </c>
      <c r="D41" s="4">
        <v>16988232</v>
      </c>
      <c r="E41" s="4" t="s">
        <v>15</v>
      </c>
      <c r="F41" s="4">
        <v>648</v>
      </c>
      <c r="G41" s="4">
        <v>648</v>
      </c>
      <c r="H41" s="4">
        <v>0</v>
      </c>
      <c r="I41" s="4">
        <v>0</v>
      </c>
      <c r="J41" s="4">
        <v>648</v>
      </c>
      <c r="K41" s="4">
        <v>0</v>
      </c>
      <c r="L41" s="4">
        <v>648</v>
      </c>
      <c r="M41" s="5">
        <v>648</v>
      </c>
      <c r="N41" s="4">
        <v>0</v>
      </c>
      <c r="O41" s="4" t="s">
        <v>51</v>
      </c>
    </row>
    <row r="42" spans="1:15" s="1" customFormat="1">
      <c r="A42" s="3">
        <v>45997.605949074074</v>
      </c>
      <c r="B42" s="3">
        <v>45997.605949074074</v>
      </c>
      <c r="C42" s="4" t="s">
        <v>94</v>
      </c>
      <c r="D42" s="4">
        <v>17784888</v>
      </c>
      <c r="E42" s="4" t="s">
        <v>15</v>
      </c>
      <c r="F42" s="4">
        <v>648</v>
      </c>
      <c r="G42" s="4">
        <v>648</v>
      </c>
      <c r="H42" s="4">
        <v>0</v>
      </c>
      <c r="I42" s="4">
        <v>0</v>
      </c>
      <c r="J42" s="4">
        <v>648</v>
      </c>
      <c r="K42" s="4">
        <v>0</v>
      </c>
      <c r="L42" s="4">
        <v>648</v>
      </c>
      <c r="M42" s="5">
        <v>648</v>
      </c>
      <c r="N42" s="4">
        <v>0</v>
      </c>
      <c r="O42" s="4" t="s">
        <v>51</v>
      </c>
    </row>
    <row r="43" spans="1:15" s="1" customFormat="1">
      <c r="A43" s="3">
        <v>45997.718981481485</v>
      </c>
      <c r="B43" s="3">
        <v>45997.718981481485</v>
      </c>
      <c r="C43" s="4" t="s">
        <v>95</v>
      </c>
      <c r="D43" s="4">
        <v>13134303</v>
      </c>
      <c r="E43" s="4" t="s">
        <v>15</v>
      </c>
      <c r="F43" s="4">
        <v>648</v>
      </c>
      <c r="G43" s="4">
        <v>648</v>
      </c>
      <c r="H43" s="4">
        <v>0</v>
      </c>
      <c r="I43" s="4">
        <v>0</v>
      </c>
      <c r="J43" s="4">
        <v>648</v>
      </c>
      <c r="K43" s="4">
        <v>0</v>
      </c>
      <c r="L43" s="4">
        <v>648</v>
      </c>
      <c r="M43" s="5">
        <v>648</v>
      </c>
      <c r="N43" s="4">
        <v>0</v>
      </c>
      <c r="O43" s="4" t="s">
        <v>51</v>
      </c>
    </row>
    <row r="44" spans="1:15" s="1" customFormat="1">
      <c r="A44" s="3">
        <v>45997.767800925925</v>
      </c>
      <c r="B44" s="3">
        <v>45997.767800925925</v>
      </c>
      <c r="C44" s="4" t="s">
        <v>96</v>
      </c>
      <c r="D44" s="4">
        <v>20325775</v>
      </c>
      <c r="E44" s="4" t="s">
        <v>15</v>
      </c>
      <c r="F44" s="4">
        <v>648</v>
      </c>
      <c r="G44" s="4">
        <v>648</v>
      </c>
      <c r="H44" s="4">
        <v>0</v>
      </c>
      <c r="I44" s="4">
        <v>0</v>
      </c>
      <c r="J44" s="4">
        <v>648</v>
      </c>
      <c r="K44" s="4">
        <v>0</v>
      </c>
      <c r="L44" s="4">
        <v>648</v>
      </c>
      <c r="M44" s="5">
        <v>648</v>
      </c>
      <c r="N44" s="4">
        <v>0</v>
      </c>
      <c r="O44" s="4" t="s">
        <v>51</v>
      </c>
    </row>
    <row r="45" spans="1:15" s="1" customFormat="1">
      <c r="A45" s="3">
        <v>45997.782789351855</v>
      </c>
      <c r="B45" s="3">
        <v>45997.782962962963</v>
      </c>
      <c r="C45" s="4" t="s">
        <v>97</v>
      </c>
      <c r="D45" s="4">
        <v>20323244</v>
      </c>
      <c r="E45" s="4" t="s">
        <v>15</v>
      </c>
      <c r="F45" s="4">
        <v>2000</v>
      </c>
      <c r="G45" s="4">
        <v>648</v>
      </c>
      <c r="H45" s="4">
        <v>0</v>
      </c>
      <c r="I45" s="4">
        <v>1345.24</v>
      </c>
      <c r="J45" s="4">
        <v>654.76</v>
      </c>
      <c r="K45" s="4">
        <v>0</v>
      </c>
      <c r="L45" s="4">
        <v>648</v>
      </c>
      <c r="M45" s="5">
        <v>648</v>
      </c>
      <c r="N45" s="4">
        <v>6.76</v>
      </c>
      <c r="O45" s="4" t="s">
        <v>51</v>
      </c>
    </row>
    <row r="46" spans="1:15" s="1" customFormat="1">
      <c r="A46" s="3">
        <v>45997.919004629628</v>
      </c>
      <c r="B46" s="3">
        <v>45997.919004629628</v>
      </c>
      <c r="C46" s="4" t="s">
        <v>98</v>
      </c>
      <c r="D46" s="4">
        <v>20255745</v>
      </c>
      <c r="E46" s="4" t="s">
        <v>15</v>
      </c>
      <c r="F46" s="4">
        <v>648</v>
      </c>
      <c r="G46" s="4">
        <v>648</v>
      </c>
      <c r="H46" s="4">
        <v>0</v>
      </c>
      <c r="I46" s="4">
        <v>0</v>
      </c>
      <c r="J46" s="4">
        <v>648</v>
      </c>
      <c r="K46" s="4">
        <v>0</v>
      </c>
      <c r="L46" s="4">
        <v>648</v>
      </c>
      <c r="M46" s="5">
        <v>648</v>
      </c>
      <c r="N46" s="4">
        <v>0</v>
      </c>
      <c r="O46" s="4" t="s">
        <v>51</v>
      </c>
    </row>
    <row r="47" spans="1:15" s="1" customFormat="1">
      <c r="A47" s="3">
        <v>45997.930034722223</v>
      </c>
      <c r="B47" s="3">
        <v>45997.930034722223</v>
      </c>
      <c r="C47" s="4" t="s">
        <v>99</v>
      </c>
      <c r="D47" s="4">
        <v>20326053</v>
      </c>
      <c r="E47" s="4" t="s">
        <v>15</v>
      </c>
      <c r="F47" s="4">
        <v>648</v>
      </c>
      <c r="G47" s="4">
        <v>648</v>
      </c>
      <c r="H47" s="4">
        <v>0</v>
      </c>
      <c r="I47" s="4">
        <v>0</v>
      </c>
      <c r="J47" s="4">
        <v>648</v>
      </c>
      <c r="K47" s="4">
        <v>0</v>
      </c>
      <c r="L47" s="4">
        <v>648</v>
      </c>
      <c r="M47" s="5">
        <v>648</v>
      </c>
      <c r="N47" s="4">
        <v>0</v>
      </c>
      <c r="O47" s="4" t="s">
        <v>51</v>
      </c>
    </row>
    <row r="48" spans="1:15" s="1" customFormat="1">
      <c r="A48" s="3">
        <v>45998.012233796297</v>
      </c>
      <c r="B48" s="3">
        <v>45998.012233796297</v>
      </c>
      <c r="C48" s="4" t="s">
        <v>100</v>
      </c>
      <c r="D48" s="4">
        <v>20326117</v>
      </c>
      <c r="E48" s="4" t="s">
        <v>15</v>
      </c>
      <c r="F48" s="4">
        <v>648</v>
      </c>
      <c r="G48" s="4">
        <v>648</v>
      </c>
      <c r="H48" s="4">
        <v>0</v>
      </c>
      <c r="I48" s="4">
        <v>0</v>
      </c>
      <c r="J48" s="4">
        <v>648</v>
      </c>
      <c r="K48" s="4">
        <v>0</v>
      </c>
      <c r="L48" s="4">
        <v>648</v>
      </c>
      <c r="M48" s="5">
        <v>648</v>
      </c>
      <c r="N48" s="4">
        <v>0</v>
      </c>
      <c r="O48" s="4" t="s">
        <v>51</v>
      </c>
    </row>
    <row r="49" spans="1:15" s="1" customFormat="1">
      <c r="A49" s="3">
        <v>45998.020868055559</v>
      </c>
      <c r="B49" s="3">
        <v>45998.020983796298</v>
      </c>
      <c r="C49" s="4" t="s">
        <v>101</v>
      </c>
      <c r="D49" s="4">
        <v>19995341</v>
      </c>
      <c r="E49" s="4" t="s">
        <v>15</v>
      </c>
      <c r="F49" s="4">
        <v>1296</v>
      </c>
      <c r="G49" s="4">
        <v>648</v>
      </c>
      <c r="H49" s="4">
        <v>0</v>
      </c>
      <c r="I49" s="4">
        <v>644.76</v>
      </c>
      <c r="J49" s="4">
        <v>651.24</v>
      </c>
      <c r="K49" s="4">
        <v>0</v>
      </c>
      <c r="L49" s="4">
        <v>648</v>
      </c>
      <c r="M49" s="5">
        <v>648</v>
      </c>
      <c r="N49" s="4">
        <v>3.24</v>
      </c>
      <c r="O49" s="4" t="s">
        <v>51</v>
      </c>
    </row>
    <row r="50" spans="1:15" s="1" customFormat="1">
      <c r="A50" s="3">
        <v>45998.091435185182</v>
      </c>
      <c r="B50" s="3">
        <v>45998.091435185182</v>
      </c>
      <c r="C50" s="4" t="s">
        <v>102</v>
      </c>
      <c r="D50" s="4">
        <v>20295328</v>
      </c>
      <c r="E50" s="4" t="s">
        <v>15</v>
      </c>
      <c r="F50" s="4">
        <v>648</v>
      </c>
      <c r="G50" s="4">
        <v>648</v>
      </c>
      <c r="H50" s="4">
        <v>0</v>
      </c>
      <c r="I50" s="4">
        <v>0</v>
      </c>
      <c r="J50" s="4">
        <v>648</v>
      </c>
      <c r="K50" s="4">
        <v>0</v>
      </c>
      <c r="L50" s="4">
        <v>648</v>
      </c>
      <c r="M50" s="5">
        <v>648</v>
      </c>
      <c r="N50" s="4">
        <v>0</v>
      </c>
      <c r="O50" s="4" t="s">
        <v>51</v>
      </c>
    </row>
    <row r="51" spans="1:15" s="1" customFormat="1">
      <c r="A51" s="3">
        <v>45998.266828703701</v>
      </c>
      <c r="B51" s="3">
        <v>45998.266828703701</v>
      </c>
      <c r="C51" s="4" t="s">
        <v>103</v>
      </c>
      <c r="D51" s="4">
        <v>18617224</v>
      </c>
      <c r="E51" s="4" t="s">
        <v>15</v>
      </c>
      <c r="F51" s="4">
        <v>648</v>
      </c>
      <c r="G51" s="4">
        <v>648</v>
      </c>
      <c r="H51" s="4">
        <v>0</v>
      </c>
      <c r="I51" s="4">
        <v>0</v>
      </c>
      <c r="J51" s="4">
        <v>648</v>
      </c>
      <c r="K51" s="4">
        <v>0</v>
      </c>
      <c r="L51" s="4">
        <v>648</v>
      </c>
      <c r="M51" s="5">
        <v>648</v>
      </c>
      <c r="N51" s="4">
        <v>0</v>
      </c>
      <c r="O51" s="4" t="s">
        <v>51</v>
      </c>
    </row>
    <row r="52" spans="1:15" s="1" customFormat="1">
      <c r="A52" s="3">
        <v>45998.551412037035</v>
      </c>
      <c r="B52" s="3">
        <v>45998.551412037035</v>
      </c>
      <c r="C52" s="4" t="s">
        <v>104</v>
      </c>
      <c r="D52" s="4">
        <v>19278903</v>
      </c>
      <c r="E52" s="4" t="s">
        <v>15</v>
      </c>
      <c r="F52" s="4">
        <v>648</v>
      </c>
      <c r="G52" s="4">
        <v>648</v>
      </c>
      <c r="H52" s="4">
        <v>0</v>
      </c>
      <c r="I52" s="4">
        <v>0</v>
      </c>
      <c r="J52" s="4">
        <v>648</v>
      </c>
      <c r="K52" s="4">
        <v>0</v>
      </c>
      <c r="L52" s="4">
        <v>648</v>
      </c>
      <c r="M52" s="5">
        <v>648</v>
      </c>
      <c r="N52" s="4">
        <v>0</v>
      </c>
      <c r="O52" s="4" t="s">
        <v>51</v>
      </c>
    </row>
    <row r="53" spans="1:15" s="1" customFormat="1">
      <c r="A53" s="3">
        <v>45998.580937500003</v>
      </c>
      <c r="B53" s="3">
        <v>45998.580937500003</v>
      </c>
      <c r="C53" s="4" t="s">
        <v>105</v>
      </c>
      <c r="D53" s="4">
        <v>16181208</v>
      </c>
      <c r="E53" s="4" t="s">
        <v>15</v>
      </c>
      <c r="F53" s="4">
        <v>648</v>
      </c>
      <c r="G53" s="4">
        <v>648</v>
      </c>
      <c r="H53" s="4">
        <v>0</v>
      </c>
      <c r="I53" s="4">
        <v>0</v>
      </c>
      <c r="J53" s="4">
        <v>648</v>
      </c>
      <c r="K53" s="4">
        <v>0</v>
      </c>
      <c r="L53" s="4">
        <v>648</v>
      </c>
      <c r="M53" s="5">
        <v>648</v>
      </c>
      <c r="N53" s="4">
        <v>0</v>
      </c>
      <c r="O53" s="4" t="s">
        <v>51</v>
      </c>
    </row>
    <row r="54" spans="1:15" s="1" customFormat="1">
      <c r="A54" s="3">
        <v>45998.809652777774</v>
      </c>
      <c r="B54" s="3">
        <v>45998.809652777774</v>
      </c>
      <c r="C54" s="4" t="s">
        <v>106</v>
      </c>
      <c r="D54" s="4">
        <v>17339537</v>
      </c>
      <c r="E54" s="4" t="s">
        <v>15</v>
      </c>
      <c r="F54" s="4">
        <v>648</v>
      </c>
      <c r="G54" s="4">
        <v>648</v>
      </c>
      <c r="H54" s="4">
        <v>0</v>
      </c>
      <c r="I54" s="4">
        <v>0</v>
      </c>
      <c r="J54" s="4">
        <v>648</v>
      </c>
      <c r="K54" s="4">
        <v>0</v>
      </c>
      <c r="L54" s="4">
        <v>648</v>
      </c>
      <c r="M54" s="5">
        <v>648</v>
      </c>
      <c r="N54" s="4">
        <v>0</v>
      </c>
      <c r="O54" s="4" t="s">
        <v>51</v>
      </c>
    </row>
    <row r="55" spans="1:15" s="1" customFormat="1">
      <c r="A55" s="3">
        <v>45998.947789351849</v>
      </c>
      <c r="B55" s="3">
        <v>45998.947789351849</v>
      </c>
      <c r="C55" s="4" t="s">
        <v>107</v>
      </c>
      <c r="D55" s="4">
        <v>20192228</v>
      </c>
      <c r="E55" s="4" t="s">
        <v>15</v>
      </c>
      <c r="F55" s="4">
        <v>648</v>
      </c>
      <c r="G55" s="4">
        <v>648</v>
      </c>
      <c r="H55" s="4">
        <v>0</v>
      </c>
      <c r="I55" s="4">
        <v>0</v>
      </c>
      <c r="J55" s="4">
        <v>648</v>
      </c>
      <c r="K55" s="4">
        <v>0</v>
      </c>
      <c r="L55" s="4">
        <v>648</v>
      </c>
      <c r="M55" s="5">
        <v>648</v>
      </c>
      <c r="N55" s="4">
        <v>0</v>
      </c>
      <c r="O55" s="4" t="s">
        <v>51</v>
      </c>
    </row>
    <row r="56" spans="1:15" s="1" customFormat="1">
      <c r="A56" s="3">
        <v>45998.978402777779</v>
      </c>
      <c r="B56" s="3">
        <v>45998.978402777779</v>
      </c>
      <c r="C56" s="4" t="s">
        <v>108</v>
      </c>
      <c r="D56" s="4">
        <v>17707633</v>
      </c>
      <c r="E56" s="4" t="s">
        <v>15</v>
      </c>
      <c r="F56" s="4">
        <v>648</v>
      </c>
      <c r="G56" s="4">
        <v>648</v>
      </c>
      <c r="H56" s="4">
        <v>0</v>
      </c>
      <c r="I56" s="4">
        <v>0</v>
      </c>
      <c r="J56" s="4">
        <v>648</v>
      </c>
      <c r="K56" s="4">
        <v>0</v>
      </c>
      <c r="L56" s="4">
        <v>648</v>
      </c>
      <c r="M56" s="5">
        <v>648</v>
      </c>
      <c r="N56" s="4">
        <v>0</v>
      </c>
      <c r="O56" s="4" t="s">
        <v>51</v>
      </c>
    </row>
    <row r="57" spans="1:15" s="1" customFormat="1">
      <c r="A57" s="3">
        <v>45999.060995370368</v>
      </c>
      <c r="B57" s="3">
        <v>45999.060995370368</v>
      </c>
      <c r="C57" s="4" t="s">
        <v>109</v>
      </c>
      <c r="D57" s="4">
        <v>20327634</v>
      </c>
      <c r="E57" s="4" t="s">
        <v>15</v>
      </c>
      <c r="F57" s="4">
        <v>648</v>
      </c>
      <c r="G57" s="4">
        <v>648</v>
      </c>
      <c r="H57" s="4">
        <v>0</v>
      </c>
      <c r="I57" s="4">
        <v>0</v>
      </c>
      <c r="J57" s="4">
        <v>648</v>
      </c>
      <c r="K57" s="4">
        <v>0</v>
      </c>
      <c r="L57" s="4">
        <v>648</v>
      </c>
      <c r="M57" s="5">
        <v>648</v>
      </c>
      <c r="N57" s="4">
        <v>0</v>
      </c>
      <c r="O57" s="4" t="s">
        <v>51</v>
      </c>
    </row>
    <row r="58" spans="1:15" s="1" customFormat="1">
      <c r="A58" s="3">
        <v>45999.288912037038</v>
      </c>
      <c r="B58" s="3">
        <v>45999.289027777777</v>
      </c>
      <c r="C58" s="4" t="s">
        <v>110</v>
      </c>
      <c r="D58" s="4">
        <v>19501956</v>
      </c>
      <c r="E58" s="4" t="s">
        <v>15</v>
      </c>
      <c r="F58" s="4">
        <v>1000</v>
      </c>
      <c r="G58" s="4">
        <v>648</v>
      </c>
      <c r="H58" s="4">
        <v>0</v>
      </c>
      <c r="I58" s="4">
        <v>350.24</v>
      </c>
      <c r="J58" s="4">
        <v>649.76</v>
      </c>
      <c r="K58" s="4">
        <v>0</v>
      </c>
      <c r="L58" s="4">
        <v>648</v>
      </c>
      <c r="M58" s="5">
        <v>648</v>
      </c>
      <c r="N58" s="4">
        <v>1.76</v>
      </c>
      <c r="O58" s="4" t="s">
        <v>51</v>
      </c>
    </row>
    <row r="59" spans="1:15" s="1" customFormat="1">
      <c r="A59" s="3">
        <v>45999.439675925925</v>
      </c>
      <c r="B59" s="3">
        <v>45999.439675925925</v>
      </c>
      <c r="C59" s="4" t="s">
        <v>111</v>
      </c>
      <c r="D59" s="4">
        <v>13464679</v>
      </c>
      <c r="E59" s="4" t="s">
        <v>15</v>
      </c>
      <c r="F59" s="4">
        <v>648</v>
      </c>
      <c r="G59" s="4">
        <v>648</v>
      </c>
      <c r="H59" s="4">
        <v>0</v>
      </c>
      <c r="I59" s="4">
        <v>0</v>
      </c>
      <c r="J59" s="4">
        <v>648</v>
      </c>
      <c r="K59" s="4">
        <v>0</v>
      </c>
      <c r="L59" s="4">
        <v>648</v>
      </c>
      <c r="M59" s="5">
        <v>648</v>
      </c>
      <c r="N59" s="4">
        <v>0</v>
      </c>
      <c r="O59" s="4" t="s">
        <v>51</v>
      </c>
    </row>
    <row r="60" spans="1:15" s="1" customFormat="1">
      <c r="A60" s="3">
        <v>45999.500497685185</v>
      </c>
      <c r="B60" s="3">
        <v>45999.500497685185</v>
      </c>
      <c r="C60" s="4" t="s">
        <v>112</v>
      </c>
      <c r="D60" s="4">
        <v>18643442</v>
      </c>
      <c r="E60" s="4" t="s">
        <v>15</v>
      </c>
      <c r="F60" s="4">
        <v>648</v>
      </c>
      <c r="G60" s="4">
        <v>648</v>
      </c>
      <c r="H60" s="4">
        <v>0</v>
      </c>
      <c r="I60" s="4">
        <v>0</v>
      </c>
      <c r="J60" s="4">
        <v>648</v>
      </c>
      <c r="K60" s="4">
        <v>0</v>
      </c>
      <c r="L60" s="4">
        <v>648</v>
      </c>
      <c r="M60" s="5">
        <v>648</v>
      </c>
      <c r="N60" s="4">
        <v>0</v>
      </c>
      <c r="O60" s="4" t="s">
        <v>51</v>
      </c>
    </row>
    <row r="61" spans="1:15" s="1" customFormat="1">
      <c r="A61" s="3">
        <v>45999.604085648149</v>
      </c>
      <c r="B61" s="3">
        <v>45999.604085648149</v>
      </c>
      <c r="C61" s="4" t="s">
        <v>113</v>
      </c>
      <c r="D61" s="4">
        <v>12889501</v>
      </c>
      <c r="E61" s="4" t="s">
        <v>15</v>
      </c>
      <c r="F61" s="4">
        <v>648</v>
      </c>
      <c r="G61" s="4">
        <v>648</v>
      </c>
      <c r="H61" s="4">
        <v>0</v>
      </c>
      <c r="I61" s="4">
        <v>0</v>
      </c>
      <c r="J61" s="4">
        <v>648</v>
      </c>
      <c r="K61" s="4">
        <v>0</v>
      </c>
      <c r="L61" s="4">
        <v>648</v>
      </c>
      <c r="M61" s="5">
        <v>648</v>
      </c>
      <c r="N61" s="4">
        <v>0</v>
      </c>
      <c r="O61" s="4" t="s">
        <v>51</v>
      </c>
    </row>
    <row r="62" spans="1:15" s="1" customFormat="1">
      <c r="A62" s="3">
        <v>45999.649756944447</v>
      </c>
      <c r="B62" s="3">
        <v>45999.649756944447</v>
      </c>
      <c r="C62" s="4" t="s">
        <v>114</v>
      </c>
      <c r="D62" s="4">
        <v>20316028</v>
      </c>
      <c r="E62" s="4" t="s">
        <v>15</v>
      </c>
      <c r="F62" s="4">
        <v>648</v>
      </c>
      <c r="G62" s="4">
        <v>648</v>
      </c>
      <c r="H62" s="4">
        <v>0</v>
      </c>
      <c r="I62" s="4">
        <v>0</v>
      </c>
      <c r="J62" s="4">
        <v>648</v>
      </c>
      <c r="K62" s="4">
        <v>0</v>
      </c>
      <c r="L62" s="4">
        <v>648</v>
      </c>
      <c r="M62" s="5">
        <v>648</v>
      </c>
      <c r="N62" s="4">
        <v>0</v>
      </c>
      <c r="O62" s="4" t="s">
        <v>51</v>
      </c>
    </row>
    <row r="63" spans="1:15" s="1" customFormat="1">
      <c r="A63" s="3">
        <v>45999.763078703705</v>
      </c>
      <c r="B63" s="3">
        <v>45999.763078703705</v>
      </c>
      <c r="C63" s="4" t="s">
        <v>115</v>
      </c>
      <c r="D63" s="4">
        <v>20082851</v>
      </c>
      <c r="E63" s="4" t="s">
        <v>15</v>
      </c>
      <c r="F63" s="4">
        <v>648</v>
      </c>
      <c r="G63" s="4">
        <v>648</v>
      </c>
      <c r="H63" s="4">
        <v>0</v>
      </c>
      <c r="I63" s="4">
        <v>0</v>
      </c>
      <c r="J63" s="4">
        <v>648</v>
      </c>
      <c r="K63" s="4">
        <v>0</v>
      </c>
      <c r="L63" s="4">
        <v>648</v>
      </c>
      <c r="M63" s="5">
        <v>648</v>
      </c>
      <c r="N63" s="4">
        <v>0</v>
      </c>
      <c r="O63" s="4" t="s">
        <v>51</v>
      </c>
    </row>
    <row r="64" spans="1:15" s="1" customFormat="1">
      <c r="A64" s="3">
        <v>45999.928622685184</v>
      </c>
      <c r="B64" s="3">
        <v>45999.928622685184</v>
      </c>
      <c r="C64" s="4" t="s">
        <v>116</v>
      </c>
      <c r="D64" s="4">
        <v>20328507</v>
      </c>
      <c r="E64" s="4" t="s">
        <v>15</v>
      </c>
      <c r="F64" s="4">
        <v>648</v>
      </c>
      <c r="G64" s="4">
        <v>648</v>
      </c>
      <c r="H64" s="4">
        <v>0</v>
      </c>
      <c r="I64" s="4">
        <v>0</v>
      </c>
      <c r="J64" s="4">
        <v>648</v>
      </c>
      <c r="K64" s="4">
        <v>0</v>
      </c>
      <c r="L64" s="4">
        <v>648</v>
      </c>
      <c r="M64" s="5">
        <v>648</v>
      </c>
      <c r="N64" s="4">
        <v>0</v>
      </c>
      <c r="O64" s="4" t="s">
        <v>51</v>
      </c>
    </row>
    <row r="65" spans="1:15" s="1" customFormat="1">
      <c r="A65" s="3">
        <v>45999.93037037037</v>
      </c>
      <c r="B65" s="3">
        <v>45999.93037037037</v>
      </c>
      <c r="C65" s="4" t="s">
        <v>117</v>
      </c>
      <c r="D65" s="4">
        <v>18707760</v>
      </c>
      <c r="E65" s="4" t="s">
        <v>15</v>
      </c>
      <c r="F65" s="4">
        <v>648</v>
      </c>
      <c r="G65" s="4">
        <v>648</v>
      </c>
      <c r="H65" s="4">
        <v>0</v>
      </c>
      <c r="I65" s="4">
        <v>0</v>
      </c>
      <c r="J65" s="4">
        <v>648</v>
      </c>
      <c r="K65" s="4">
        <v>0</v>
      </c>
      <c r="L65" s="4">
        <v>648</v>
      </c>
      <c r="M65" s="5">
        <v>648</v>
      </c>
      <c r="N65" s="4">
        <v>0</v>
      </c>
      <c r="O65" s="4" t="s">
        <v>51</v>
      </c>
    </row>
    <row r="66" spans="1:15" s="1" customFormat="1">
      <c r="A66" s="3">
        <v>45999.957106481481</v>
      </c>
      <c r="B66" s="3">
        <v>45999.957106481481</v>
      </c>
      <c r="C66" s="4" t="s">
        <v>118</v>
      </c>
      <c r="D66" s="4">
        <v>20328301</v>
      </c>
      <c r="E66" s="4" t="s">
        <v>15</v>
      </c>
      <c r="F66" s="4">
        <v>648</v>
      </c>
      <c r="G66" s="4">
        <v>648</v>
      </c>
      <c r="H66" s="4">
        <v>0</v>
      </c>
      <c r="I66" s="4">
        <v>0</v>
      </c>
      <c r="J66" s="4">
        <v>648</v>
      </c>
      <c r="K66" s="4">
        <v>0</v>
      </c>
      <c r="L66" s="4">
        <v>648</v>
      </c>
      <c r="M66" s="5">
        <v>648</v>
      </c>
      <c r="N66" s="4">
        <v>0</v>
      </c>
      <c r="O66" s="4" t="s">
        <v>51</v>
      </c>
    </row>
    <row r="67" spans="1:15" s="1" customFormat="1">
      <c r="A67" s="3">
        <v>46000.017256944448</v>
      </c>
      <c r="B67" s="3">
        <v>46000.017256944448</v>
      </c>
      <c r="C67" s="4" t="s">
        <v>119</v>
      </c>
      <c r="D67" s="4">
        <v>19394486</v>
      </c>
      <c r="E67" s="4" t="s">
        <v>15</v>
      </c>
      <c r="F67" s="4">
        <v>648</v>
      </c>
      <c r="G67" s="4">
        <v>648</v>
      </c>
      <c r="H67" s="4">
        <v>0</v>
      </c>
      <c r="I67" s="4">
        <v>0</v>
      </c>
      <c r="J67" s="4">
        <v>648</v>
      </c>
      <c r="K67" s="4">
        <v>0</v>
      </c>
      <c r="L67" s="4">
        <v>648</v>
      </c>
      <c r="M67" s="5">
        <v>648</v>
      </c>
      <c r="N67" s="4">
        <v>0</v>
      </c>
      <c r="O67" s="4" t="s">
        <v>51</v>
      </c>
    </row>
    <row r="68" spans="1:15" s="1" customFormat="1">
      <c r="A68" s="3">
        <v>46000.142534722225</v>
      </c>
      <c r="B68" s="3">
        <v>46000.142534722225</v>
      </c>
      <c r="C68" s="4" t="s">
        <v>120</v>
      </c>
      <c r="D68" s="4">
        <v>18236622</v>
      </c>
      <c r="E68" s="4" t="s">
        <v>15</v>
      </c>
      <c r="F68" s="4">
        <v>648</v>
      </c>
      <c r="G68" s="4">
        <v>648</v>
      </c>
      <c r="H68" s="4">
        <v>0</v>
      </c>
      <c r="I68" s="4">
        <v>0</v>
      </c>
      <c r="J68" s="4">
        <v>648</v>
      </c>
      <c r="K68" s="4">
        <v>0</v>
      </c>
      <c r="L68" s="4">
        <v>648</v>
      </c>
      <c r="M68" s="5">
        <v>648</v>
      </c>
      <c r="N68" s="4">
        <v>0</v>
      </c>
      <c r="O68" s="4" t="s">
        <v>51</v>
      </c>
    </row>
    <row r="69" spans="1:15" s="1" customFormat="1">
      <c r="A69" s="3">
        <v>46000.444016203706</v>
      </c>
      <c r="B69" s="3">
        <v>46000.444016203706</v>
      </c>
      <c r="C69" s="4" t="s">
        <v>121</v>
      </c>
      <c r="D69" s="4">
        <v>20328855</v>
      </c>
      <c r="E69" s="4" t="s">
        <v>15</v>
      </c>
      <c r="F69" s="4">
        <v>648</v>
      </c>
      <c r="G69" s="4">
        <v>648</v>
      </c>
      <c r="H69" s="4">
        <v>0</v>
      </c>
      <c r="I69" s="4">
        <v>0</v>
      </c>
      <c r="J69" s="4">
        <v>648</v>
      </c>
      <c r="K69" s="4">
        <v>0</v>
      </c>
      <c r="L69" s="4">
        <v>648</v>
      </c>
      <c r="M69" s="5">
        <v>648</v>
      </c>
      <c r="N69" s="4">
        <v>0</v>
      </c>
      <c r="O69" s="4" t="s">
        <v>51</v>
      </c>
    </row>
    <row r="70" spans="1:15" s="1" customFormat="1">
      <c r="A70" s="3">
        <v>46000.511620370373</v>
      </c>
      <c r="B70" s="3">
        <v>46000.511620370373</v>
      </c>
      <c r="C70" s="4" t="s">
        <v>122</v>
      </c>
      <c r="D70" s="4">
        <v>20329105</v>
      </c>
      <c r="E70" s="4" t="s">
        <v>15</v>
      </c>
      <c r="F70" s="4">
        <v>648</v>
      </c>
      <c r="G70" s="4">
        <v>648</v>
      </c>
      <c r="H70" s="4">
        <v>0</v>
      </c>
      <c r="I70" s="4">
        <v>0</v>
      </c>
      <c r="J70" s="4">
        <v>648</v>
      </c>
      <c r="K70" s="4">
        <v>0</v>
      </c>
      <c r="L70" s="4">
        <v>648</v>
      </c>
      <c r="M70" s="5">
        <v>648</v>
      </c>
      <c r="N70" s="4">
        <v>0</v>
      </c>
      <c r="O70" s="4" t="s">
        <v>51</v>
      </c>
    </row>
    <row r="71" spans="1:15" s="1" customFormat="1">
      <c r="A71" s="3">
        <v>46000.675000000003</v>
      </c>
      <c r="B71" s="3">
        <v>46000.675000000003</v>
      </c>
      <c r="C71" s="4" t="s">
        <v>123</v>
      </c>
      <c r="D71" s="4">
        <v>20329345</v>
      </c>
      <c r="E71" s="4" t="s">
        <v>15</v>
      </c>
      <c r="F71" s="4">
        <v>648</v>
      </c>
      <c r="G71" s="4">
        <v>648</v>
      </c>
      <c r="H71" s="4">
        <v>0</v>
      </c>
      <c r="I71" s="4">
        <v>0</v>
      </c>
      <c r="J71" s="4">
        <v>648</v>
      </c>
      <c r="K71" s="4">
        <v>0</v>
      </c>
      <c r="L71" s="4">
        <v>648</v>
      </c>
      <c r="M71" s="5">
        <v>648</v>
      </c>
      <c r="N71" s="4">
        <v>0</v>
      </c>
      <c r="O71" s="4" t="s">
        <v>51</v>
      </c>
    </row>
    <row r="72" spans="1:15" s="1" customFormat="1">
      <c r="A72" s="3">
        <v>46001.000648148147</v>
      </c>
      <c r="B72" s="3">
        <v>46001.000648148147</v>
      </c>
      <c r="C72" s="4" t="s">
        <v>124</v>
      </c>
      <c r="D72" s="4">
        <v>18403341</v>
      </c>
      <c r="E72" s="4" t="s">
        <v>16</v>
      </c>
      <c r="F72" s="4">
        <v>648</v>
      </c>
      <c r="G72" s="4">
        <v>648</v>
      </c>
      <c r="H72" s="4">
        <v>0</v>
      </c>
      <c r="I72" s="4">
        <v>0</v>
      </c>
      <c r="J72" s="4">
        <v>648</v>
      </c>
      <c r="K72" s="4">
        <v>0</v>
      </c>
      <c r="L72" s="4">
        <v>648</v>
      </c>
      <c r="M72" s="5">
        <v>648</v>
      </c>
      <c r="N72" s="4">
        <v>0</v>
      </c>
      <c r="O72" s="4" t="s">
        <v>51</v>
      </c>
    </row>
    <row r="73" spans="1:15" s="1" customFormat="1">
      <c r="A73" s="3">
        <v>46001.157106481478</v>
      </c>
      <c r="B73" s="3">
        <v>46001.157106481478</v>
      </c>
      <c r="C73" s="4" t="s">
        <v>125</v>
      </c>
      <c r="D73" s="4">
        <v>12790774</v>
      </c>
      <c r="E73" s="4" t="s">
        <v>15</v>
      </c>
      <c r="F73" s="4">
        <v>648</v>
      </c>
      <c r="G73" s="4">
        <v>648</v>
      </c>
      <c r="H73" s="4">
        <v>0</v>
      </c>
      <c r="I73" s="4">
        <v>0</v>
      </c>
      <c r="J73" s="4">
        <v>648</v>
      </c>
      <c r="K73" s="4">
        <v>0</v>
      </c>
      <c r="L73" s="4">
        <v>648</v>
      </c>
      <c r="M73" s="5">
        <v>648</v>
      </c>
      <c r="N73" s="4">
        <v>0</v>
      </c>
      <c r="O73" s="4" t="s">
        <v>51</v>
      </c>
    </row>
    <row r="74" spans="1:15" s="1" customFormat="1">
      <c r="A74" s="3">
        <v>46001.30201388889</v>
      </c>
      <c r="B74" s="3">
        <v>46001.30201388889</v>
      </c>
      <c r="C74" s="4" t="s">
        <v>126</v>
      </c>
      <c r="D74" s="4">
        <v>16700781</v>
      </c>
      <c r="E74" s="4" t="s">
        <v>15</v>
      </c>
      <c r="F74" s="4">
        <v>648</v>
      </c>
      <c r="G74" s="4">
        <v>648</v>
      </c>
      <c r="H74" s="4">
        <v>0</v>
      </c>
      <c r="I74" s="4">
        <v>0</v>
      </c>
      <c r="J74" s="4">
        <v>648</v>
      </c>
      <c r="K74" s="4">
        <v>0</v>
      </c>
      <c r="L74" s="4">
        <v>648</v>
      </c>
      <c r="M74" s="5">
        <v>648</v>
      </c>
      <c r="N74" s="4">
        <v>0</v>
      </c>
      <c r="O74" s="4" t="s">
        <v>51</v>
      </c>
    </row>
    <row r="75" spans="1:15" s="1" customFormat="1">
      <c r="A75" s="3">
        <v>46001.337997685187</v>
      </c>
      <c r="B75" s="3">
        <v>46001.337997685187</v>
      </c>
      <c r="C75" s="4" t="s">
        <v>127</v>
      </c>
      <c r="D75" s="4">
        <v>14117039</v>
      </c>
      <c r="E75" s="4" t="s">
        <v>15</v>
      </c>
      <c r="F75" s="4">
        <v>648</v>
      </c>
      <c r="G75" s="4">
        <v>648</v>
      </c>
      <c r="H75" s="4">
        <v>0</v>
      </c>
      <c r="I75" s="4">
        <v>0</v>
      </c>
      <c r="J75" s="4">
        <v>648</v>
      </c>
      <c r="K75" s="4">
        <v>0</v>
      </c>
      <c r="L75" s="4">
        <v>648</v>
      </c>
      <c r="M75" s="5">
        <v>648</v>
      </c>
      <c r="N75" s="4">
        <v>0</v>
      </c>
      <c r="O75" s="4" t="s">
        <v>51</v>
      </c>
    </row>
    <row r="76" spans="1:15" s="1" customFormat="1">
      <c r="A76" s="3">
        <v>46001.393495370372</v>
      </c>
      <c r="B76" s="3">
        <v>46001.393495370372</v>
      </c>
      <c r="C76" s="4" t="s">
        <v>128</v>
      </c>
      <c r="D76" s="4">
        <v>20330119</v>
      </c>
      <c r="E76" s="4" t="s">
        <v>15</v>
      </c>
      <c r="F76" s="4">
        <v>648</v>
      </c>
      <c r="G76" s="4">
        <v>648</v>
      </c>
      <c r="H76" s="4">
        <v>0</v>
      </c>
      <c r="I76" s="4">
        <v>0</v>
      </c>
      <c r="J76" s="4">
        <v>648</v>
      </c>
      <c r="K76" s="4">
        <v>0</v>
      </c>
      <c r="L76" s="4">
        <v>648</v>
      </c>
      <c r="M76" s="5">
        <v>648</v>
      </c>
      <c r="N76" s="4">
        <v>0</v>
      </c>
      <c r="O76" s="4" t="s">
        <v>51</v>
      </c>
    </row>
    <row r="77" spans="1:15" s="1" customFormat="1">
      <c r="A77" s="3">
        <v>46001.394097222219</v>
      </c>
      <c r="B77" s="3">
        <v>46001.394236111111</v>
      </c>
      <c r="C77" s="4" t="s">
        <v>129</v>
      </c>
      <c r="D77" s="4">
        <v>20330122</v>
      </c>
      <c r="E77" s="4" t="s">
        <v>15</v>
      </c>
      <c r="F77" s="4">
        <v>1296</v>
      </c>
      <c r="G77" s="4">
        <v>648</v>
      </c>
      <c r="H77" s="4">
        <v>0</v>
      </c>
      <c r="I77" s="4">
        <v>644.76</v>
      </c>
      <c r="J77" s="4">
        <v>651.24</v>
      </c>
      <c r="K77" s="4">
        <v>0</v>
      </c>
      <c r="L77" s="4">
        <v>648</v>
      </c>
      <c r="M77" s="5">
        <v>648</v>
      </c>
      <c r="N77" s="4">
        <v>3.24</v>
      </c>
      <c r="O77" s="4" t="s">
        <v>51</v>
      </c>
    </row>
    <row r="78" spans="1:15" s="1" customFormat="1">
      <c r="A78" s="3">
        <v>46001.488645833335</v>
      </c>
      <c r="B78" s="3">
        <v>46001.488645833335</v>
      </c>
      <c r="C78" s="4" t="s">
        <v>130</v>
      </c>
      <c r="D78" s="4">
        <v>20328060</v>
      </c>
      <c r="E78" s="4" t="s">
        <v>16</v>
      </c>
      <c r="F78" s="4">
        <v>648</v>
      </c>
      <c r="G78" s="4">
        <v>648</v>
      </c>
      <c r="H78" s="4">
        <v>0</v>
      </c>
      <c r="I78" s="4">
        <v>0</v>
      </c>
      <c r="J78" s="4">
        <v>648</v>
      </c>
      <c r="K78" s="4">
        <v>0</v>
      </c>
      <c r="L78" s="4">
        <v>648</v>
      </c>
      <c r="M78" s="5">
        <v>648</v>
      </c>
      <c r="N78" s="4">
        <v>0</v>
      </c>
      <c r="O78" s="4" t="s">
        <v>51</v>
      </c>
    </row>
    <row r="79" spans="1:15" s="1" customFormat="1">
      <c r="A79" s="3">
        <v>46001.515150462961</v>
      </c>
      <c r="B79" s="3">
        <v>46001.515150462961</v>
      </c>
      <c r="C79" s="4" t="s">
        <v>131</v>
      </c>
      <c r="D79" s="4">
        <v>10136197</v>
      </c>
      <c r="E79" s="4" t="s">
        <v>15</v>
      </c>
      <c r="F79" s="4">
        <v>648</v>
      </c>
      <c r="G79" s="4">
        <v>648</v>
      </c>
      <c r="H79" s="4">
        <v>0</v>
      </c>
      <c r="I79" s="4">
        <v>0</v>
      </c>
      <c r="J79" s="4">
        <v>648</v>
      </c>
      <c r="K79" s="4">
        <v>0</v>
      </c>
      <c r="L79" s="4">
        <v>648</v>
      </c>
      <c r="M79" s="5">
        <v>648</v>
      </c>
      <c r="N79" s="4">
        <v>0</v>
      </c>
      <c r="O79" s="4" t="s">
        <v>51</v>
      </c>
    </row>
    <row r="80" spans="1:15" s="1" customFormat="1">
      <c r="A80" s="3">
        <v>46001.537210648145</v>
      </c>
      <c r="B80" s="3">
        <v>46001.537210648145</v>
      </c>
      <c r="C80" s="4" t="s">
        <v>132</v>
      </c>
      <c r="D80" s="4">
        <v>18559810</v>
      </c>
      <c r="E80" s="4" t="s">
        <v>15</v>
      </c>
      <c r="F80" s="4">
        <v>648</v>
      </c>
      <c r="G80" s="4">
        <v>648</v>
      </c>
      <c r="H80" s="4">
        <v>0</v>
      </c>
      <c r="I80" s="4">
        <v>0</v>
      </c>
      <c r="J80" s="4">
        <v>648</v>
      </c>
      <c r="K80" s="4">
        <v>0</v>
      </c>
      <c r="L80" s="4">
        <v>648</v>
      </c>
      <c r="M80" s="5">
        <v>648</v>
      </c>
      <c r="N80" s="4">
        <v>0</v>
      </c>
      <c r="O80" s="4" t="s">
        <v>51</v>
      </c>
    </row>
    <row r="81" spans="1:15" s="1" customFormat="1">
      <c r="A81" s="3">
        <v>46001.659733796296</v>
      </c>
      <c r="B81" s="3">
        <v>46001.659733796296</v>
      </c>
      <c r="C81" s="4" t="s">
        <v>133</v>
      </c>
      <c r="D81" s="4">
        <v>20330418</v>
      </c>
      <c r="E81" s="4" t="s">
        <v>15</v>
      </c>
      <c r="F81" s="4">
        <v>1296</v>
      </c>
      <c r="G81" s="4">
        <v>648</v>
      </c>
      <c r="H81" s="4">
        <v>0</v>
      </c>
      <c r="I81" s="4">
        <v>644.76</v>
      </c>
      <c r="J81" s="4">
        <v>651.24</v>
      </c>
      <c r="K81" s="4">
        <v>0</v>
      </c>
      <c r="L81" s="4">
        <v>648</v>
      </c>
      <c r="M81" s="5">
        <v>648</v>
      </c>
      <c r="N81" s="4">
        <v>3.24</v>
      </c>
      <c r="O81" s="4" t="s">
        <v>51</v>
      </c>
    </row>
    <row r="82" spans="1:15" s="1" customFormat="1">
      <c r="A82" s="3">
        <v>46001.668819444443</v>
      </c>
      <c r="B82" s="3">
        <v>46001.669027777774</v>
      </c>
      <c r="C82" s="4" t="s">
        <v>134</v>
      </c>
      <c r="D82" s="4">
        <v>20180064</v>
      </c>
      <c r="E82" s="4" t="s">
        <v>15</v>
      </c>
      <c r="F82" s="4">
        <v>2000</v>
      </c>
      <c r="G82" s="4">
        <v>648</v>
      </c>
      <c r="H82" s="4">
        <v>0</v>
      </c>
      <c r="I82" s="4">
        <v>1345.24</v>
      </c>
      <c r="J82" s="4">
        <v>654.76</v>
      </c>
      <c r="K82" s="4">
        <v>0</v>
      </c>
      <c r="L82" s="4">
        <v>648</v>
      </c>
      <c r="M82" s="5">
        <v>648</v>
      </c>
      <c r="N82" s="4">
        <v>6.76</v>
      </c>
      <c r="O82" s="4" t="s">
        <v>51</v>
      </c>
    </row>
    <row r="83" spans="1:15" s="1" customFormat="1">
      <c r="A83" s="3">
        <v>46001.719733796293</v>
      </c>
      <c r="B83" s="3">
        <v>46001.719733796293</v>
      </c>
      <c r="C83" s="4" t="s">
        <v>135</v>
      </c>
      <c r="D83" s="4">
        <v>20330508</v>
      </c>
      <c r="E83" s="4" t="s">
        <v>15</v>
      </c>
      <c r="F83" s="4">
        <v>648</v>
      </c>
      <c r="G83" s="4">
        <v>648</v>
      </c>
      <c r="H83" s="4">
        <v>0</v>
      </c>
      <c r="I83" s="4">
        <v>0</v>
      </c>
      <c r="J83" s="4">
        <v>648</v>
      </c>
      <c r="K83" s="4">
        <v>0</v>
      </c>
      <c r="L83" s="4">
        <v>648</v>
      </c>
      <c r="M83" s="5">
        <v>648</v>
      </c>
      <c r="N83" s="4">
        <v>0</v>
      </c>
      <c r="O83" s="4" t="s">
        <v>51</v>
      </c>
    </row>
    <row r="84" spans="1:15" s="1" customFormat="1">
      <c r="A84" s="3">
        <v>46001.932280092595</v>
      </c>
      <c r="B84" s="3">
        <v>46001.932384259257</v>
      </c>
      <c r="C84" s="4" t="s">
        <v>136</v>
      </c>
      <c r="D84" s="4">
        <v>13189329</v>
      </c>
      <c r="E84" s="4" t="s">
        <v>15</v>
      </c>
      <c r="F84" s="4">
        <v>1000</v>
      </c>
      <c r="G84" s="4">
        <v>648</v>
      </c>
      <c r="H84" s="4">
        <v>0</v>
      </c>
      <c r="I84" s="4">
        <v>350.24</v>
      </c>
      <c r="J84" s="4">
        <v>649.76</v>
      </c>
      <c r="K84" s="4">
        <v>0</v>
      </c>
      <c r="L84" s="4">
        <v>648</v>
      </c>
      <c r="M84" s="5">
        <v>648</v>
      </c>
      <c r="N84" s="4">
        <v>1.76</v>
      </c>
      <c r="O84" s="4" t="s">
        <v>51</v>
      </c>
    </row>
    <row r="85" spans="1:15" s="1" customFormat="1">
      <c r="A85" s="3">
        <v>46001.967627314814</v>
      </c>
      <c r="B85" s="3">
        <v>46001.967627314814</v>
      </c>
      <c r="C85" s="4" t="s">
        <v>137</v>
      </c>
      <c r="D85" s="4">
        <v>20330893</v>
      </c>
      <c r="E85" s="4" t="s">
        <v>15</v>
      </c>
      <c r="F85" s="4">
        <v>1296</v>
      </c>
      <c r="G85" s="4">
        <v>648</v>
      </c>
      <c r="H85" s="4">
        <v>0</v>
      </c>
      <c r="I85" s="4">
        <v>644.76</v>
      </c>
      <c r="J85" s="4">
        <v>651.24</v>
      </c>
      <c r="K85" s="4">
        <v>0</v>
      </c>
      <c r="L85" s="4">
        <v>648</v>
      </c>
      <c r="M85" s="5">
        <v>648</v>
      </c>
      <c r="N85" s="4">
        <v>3.24</v>
      </c>
      <c r="O85" s="4" t="s">
        <v>51</v>
      </c>
    </row>
    <row r="86" spans="1:15" s="1" customFormat="1">
      <c r="A86" s="3">
        <v>46002.008287037039</v>
      </c>
      <c r="B86" s="3">
        <v>46002.008287037039</v>
      </c>
      <c r="C86" s="4" t="s">
        <v>138</v>
      </c>
      <c r="D86" s="4">
        <v>20331010</v>
      </c>
      <c r="E86" s="4" t="s">
        <v>15</v>
      </c>
      <c r="F86" s="4">
        <v>648</v>
      </c>
      <c r="G86" s="4">
        <v>648</v>
      </c>
      <c r="H86" s="4">
        <v>0</v>
      </c>
      <c r="I86" s="4">
        <v>0</v>
      </c>
      <c r="J86" s="4">
        <v>648</v>
      </c>
      <c r="K86" s="4">
        <v>0</v>
      </c>
      <c r="L86" s="4">
        <v>648</v>
      </c>
      <c r="M86" s="5">
        <v>648</v>
      </c>
      <c r="N86" s="4">
        <v>0</v>
      </c>
      <c r="O86" s="4" t="s">
        <v>51</v>
      </c>
    </row>
    <row r="87" spans="1:15" s="1" customFormat="1">
      <c r="A87" s="3">
        <v>46002.023692129631</v>
      </c>
      <c r="B87" s="3">
        <v>46002.023773148147</v>
      </c>
      <c r="C87" s="4" t="s">
        <v>139</v>
      </c>
      <c r="D87" s="4">
        <v>10704935</v>
      </c>
      <c r="E87" s="4" t="s">
        <v>15</v>
      </c>
      <c r="F87" s="4">
        <v>1296</v>
      </c>
      <c r="G87" s="4">
        <v>648</v>
      </c>
      <c r="H87" s="4">
        <v>0</v>
      </c>
      <c r="I87" s="4">
        <v>644.76</v>
      </c>
      <c r="J87" s="4">
        <v>651.24</v>
      </c>
      <c r="K87" s="4">
        <v>0</v>
      </c>
      <c r="L87" s="4">
        <v>648</v>
      </c>
      <c r="M87" s="5">
        <v>648</v>
      </c>
      <c r="N87" s="4">
        <v>3.24</v>
      </c>
      <c r="O87" s="4" t="s">
        <v>51</v>
      </c>
    </row>
    <row r="88" spans="1:15" s="1" customFormat="1">
      <c r="A88" s="3">
        <v>46002.283668981479</v>
      </c>
      <c r="B88" s="3">
        <v>46002.283668981479</v>
      </c>
      <c r="C88" s="4" t="s">
        <v>140</v>
      </c>
      <c r="D88" s="4">
        <v>15498816</v>
      </c>
      <c r="E88" s="4" t="s">
        <v>15</v>
      </c>
      <c r="F88" s="4">
        <v>648</v>
      </c>
      <c r="G88" s="4">
        <v>648</v>
      </c>
      <c r="H88" s="4">
        <v>0</v>
      </c>
      <c r="I88" s="4">
        <v>0</v>
      </c>
      <c r="J88" s="4">
        <v>648</v>
      </c>
      <c r="K88" s="4">
        <v>0</v>
      </c>
      <c r="L88" s="4">
        <v>648</v>
      </c>
      <c r="M88" s="5">
        <v>648</v>
      </c>
      <c r="N88" s="4">
        <v>0</v>
      </c>
      <c r="O88" s="4" t="s">
        <v>51</v>
      </c>
    </row>
    <row r="89" spans="1:15" s="1" customFormat="1">
      <c r="A89" s="3">
        <v>46002.44085648148</v>
      </c>
      <c r="B89" s="3">
        <v>46002.44085648148</v>
      </c>
      <c r="C89" s="4" t="s">
        <v>141</v>
      </c>
      <c r="D89" s="4">
        <v>20012159</v>
      </c>
      <c r="E89" s="4" t="s">
        <v>15</v>
      </c>
      <c r="F89" s="4">
        <v>5000</v>
      </c>
      <c r="G89" s="4">
        <v>648</v>
      </c>
      <c r="H89" s="4">
        <v>0</v>
      </c>
      <c r="I89" s="4">
        <v>4330.24</v>
      </c>
      <c r="J89" s="4">
        <v>669.76</v>
      </c>
      <c r="K89" s="4">
        <v>0</v>
      </c>
      <c r="L89" s="4">
        <v>648</v>
      </c>
      <c r="M89" s="5">
        <v>648</v>
      </c>
      <c r="N89" s="4">
        <v>21.76</v>
      </c>
      <c r="O89" s="4" t="s">
        <v>51</v>
      </c>
    </row>
    <row r="90" spans="1:15" s="1" customFormat="1">
      <c r="A90" s="3">
        <v>46002.474166666667</v>
      </c>
      <c r="B90" s="3">
        <v>46002.474166666667</v>
      </c>
      <c r="C90" s="4" t="s">
        <v>142</v>
      </c>
      <c r="D90" s="4">
        <v>20331404</v>
      </c>
      <c r="E90" s="4" t="s">
        <v>15</v>
      </c>
      <c r="F90" s="4">
        <v>648</v>
      </c>
      <c r="G90" s="4">
        <v>648</v>
      </c>
      <c r="H90" s="4">
        <v>0</v>
      </c>
      <c r="I90" s="4">
        <v>0</v>
      </c>
      <c r="J90" s="4">
        <v>648</v>
      </c>
      <c r="K90" s="4">
        <v>0</v>
      </c>
      <c r="L90" s="4">
        <v>648</v>
      </c>
      <c r="M90" s="5">
        <v>648</v>
      </c>
      <c r="N90" s="4">
        <v>0</v>
      </c>
      <c r="O90" s="4" t="s">
        <v>51</v>
      </c>
    </row>
    <row r="91" spans="1:15" s="1" customFormat="1">
      <c r="A91" s="3">
        <v>46002.509282407409</v>
      </c>
      <c r="B91" s="3">
        <v>46002.509282407409</v>
      </c>
      <c r="C91" s="4" t="s">
        <v>143</v>
      </c>
      <c r="D91" s="4">
        <v>13288930</v>
      </c>
      <c r="E91" s="4" t="s">
        <v>15</v>
      </c>
      <c r="F91" s="4">
        <v>648</v>
      </c>
      <c r="G91" s="4">
        <v>648</v>
      </c>
      <c r="H91" s="4">
        <v>0</v>
      </c>
      <c r="I91" s="4">
        <v>0</v>
      </c>
      <c r="J91" s="4">
        <v>648</v>
      </c>
      <c r="K91" s="4">
        <v>0</v>
      </c>
      <c r="L91" s="4">
        <v>648</v>
      </c>
      <c r="M91" s="5">
        <v>648</v>
      </c>
      <c r="N91" s="4">
        <v>0</v>
      </c>
      <c r="O91" s="4" t="s">
        <v>51</v>
      </c>
    </row>
    <row r="92" spans="1:15" s="1" customFormat="1">
      <c r="A92" s="3">
        <v>46002.567835648151</v>
      </c>
      <c r="B92" s="3">
        <v>46002.567835648151</v>
      </c>
      <c r="C92" s="4" t="s">
        <v>144</v>
      </c>
      <c r="D92" s="4">
        <v>20327848</v>
      </c>
      <c r="E92" s="4" t="s">
        <v>15</v>
      </c>
      <c r="F92" s="4">
        <v>648</v>
      </c>
      <c r="G92" s="4">
        <v>648</v>
      </c>
      <c r="H92" s="4">
        <v>0</v>
      </c>
      <c r="I92" s="4">
        <v>0</v>
      </c>
      <c r="J92" s="4">
        <v>648</v>
      </c>
      <c r="K92" s="4">
        <v>0</v>
      </c>
      <c r="L92" s="4">
        <v>648</v>
      </c>
      <c r="M92" s="5">
        <v>648</v>
      </c>
      <c r="N92" s="4">
        <v>0</v>
      </c>
      <c r="O92" s="4" t="s">
        <v>51</v>
      </c>
    </row>
    <row r="93" spans="1:15" s="1" customFormat="1">
      <c r="A93" s="3">
        <v>46002.680983796294</v>
      </c>
      <c r="B93" s="3">
        <v>46002.680983796294</v>
      </c>
      <c r="C93" s="4" t="s">
        <v>145</v>
      </c>
      <c r="D93" s="4">
        <v>18450127</v>
      </c>
      <c r="E93" s="4" t="s">
        <v>15</v>
      </c>
      <c r="F93" s="4">
        <v>648</v>
      </c>
      <c r="G93" s="4">
        <v>648</v>
      </c>
      <c r="H93" s="4">
        <v>0</v>
      </c>
      <c r="I93" s="4">
        <v>0</v>
      </c>
      <c r="J93" s="4">
        <v>648</v>
      </c>
      <c r="K93" s="4">
        <v>0</v>
      </c>
      <c r="L93" s="4">
        <v>648</v>
      </c>
      <c r="M93" s="5">
        <v>648</v>
      </c>
      <c r="N93" s="4">
        <v>0</v>
      </c>
      <c r="O93" s="4" t="s">
        <v>51</v>
      </c>
    </row>
    <row r="94" spans="1:15" s="1" customFormat="1">
      <c r="A94" s="3">
        <v>46003.755162037036</v>
      </c>
      <c r="B94" s="3">
        <v>46003.755162037036</v>
      </c>
      <c r="C94" s="4" t="s">
        <v>146</v>
      </c>
      <c r="D94" s="4">
        <v>20333000</v>
      </c>
      <c r="E94" s="4" t="s">
        <v>15</v>
      </c>
      <c r="F94" s="4">
        <v>648</v>
      </c>
      <c r="G94" s="4">
        <v>648</v>
      </c>
      <c r="H94" s="4">
        <v>0</v>
      </c>
      <c r="I94" s="4">
        <v>0</v>
      </c>
      <c r="J94" s="4">
        <v>648</v>
      </c>
      <c r="K94" s="4">
        <v>0</v>
      </c>
      <c r="L94" s="4">
        <v>648</v>
      </c>
      <c r="M94" s="5">
        <v>648</v>
      </c>
      <c r="N94" s="4">
        <v>0</v>
      </c>
      <c r="O94" s="4" t="s">
        <v>51</v>
      </c>
    </row>
    <row r="95" spans="1:15" s="1" customFormat="1">
      <c r="A95" s="3">
        <v>46003.901145833333</v>
      </c>
      <c r="B95" s="3">
        <v>46003.901145833333</v>
      </c>
      <c r="C95" s="4" t="s">
        <v>147</v>
      </c>
      <c r="D95" s="4">
        <v>20333202</v>
      </c>
      <c r="E95" s="4" t="s">
        <v>15</v>
      </c>
      <c r="F95" s="4">
        <v>648</v>
      </c>
      <c r="G95" s="4">
        <v>648</v>
      </c>
      <c r="H95" s="4">
        <v>0</v>
      </c>
      <c r="I95" s="4">
        <v>0</v>
      </c>
      <c r="J95" s="4">
        <v>648</v>
      </c>
      <c r="K95" s="4">
        <v>0</v>
      </c>
      <c r="L95" s="4">
        <v>648</v>
      </c>
      <c r="M95" s="5">
        <v>648</v>
      </c>
      <c r="N95" s="4">
        <v>0</v>
      </c>
      <c r="O95" s="4" t="s">
        <v>51</v>
      </c>
    </row>
    <row r="96" spans="1:15" s="1" customFormat="1">
      <c r="A96" s="3">
        <v>46003.953842592593</v>
      </c>
      <c r="B96" s="3">
        <v>46003.953842592593</v>
      </c>
      <c r="C96" s="4" t="s">
        <v>148</v>
      </c>
      <c r="D96" s="4">
        <v>20333315</v>
      </c>
      <c r="E96" s="4" t="s">
        <v>15</v>
      </c>
      <c r="F96" s="4">
        <v>648</v>
      </c>
      <c r="G96" s="4">
        <v>648</v>
      </c>
      <c r="H96" s="4">
        <v>0</v>
      </c>
      <c r="I96" s="4">
        <v>0</v>
      </c>
      <c r="J96" s="4">
        <v>648</v>
      </c>
      <c r="K96" s="4">
        <v>0</v>
      </c>
      <c r="L96" s="4">
        <v>648</v>
      </c>
      <c r="M96" s="5">
        <v>648</v>
      </c>
      <c r="N96" s="4">
        <v>0</v>
      </c>
      <c r="O96" s="4" t="s">
        <v>51</v>
      </c>
    </row>
    <row r="97" spans="1:15" s="1" customFormat="1">
      <c r="A97" s="3">
        <v>46003.961886574078</v>
      </c>
      <c r="B97" s="3">
        <v>46003.961886574078</v>
      </c>
      <c r="C97" s="4" t="s">
        <v>149</v>
      </c>
      <c r="D97" s="4">
        <v>19026014</v>
      </c>
      <c r="E97" s="4" t="s">
        <v>15</v>
      </c>
      <c r="F97" s="4">
        <v>648</v>
      </c>
      <c r="G97" s="4">
        <v>648</v>
      </c>
      <c r="H97" s="4">
        <v>0</v>
      </c>
      <c r="I97" s="4">
        <v>0</v>
      </c>
      <c r="J97" s="4">
        <v>648</v>
      </c>
      <c r="K97" s="4">
        <v>0</v>
      </c>
      <c r="L97" s="4">
        <v>648</v>
      </c>
      <c r="M97" s="5">
        <v>648</v>
      </c>
      <c r="N97" s="4">
        <v>0</v>
      </c>
      <c r="O97" s="4" t="s">
        <v>51</v>
      </c>
    </row>
    <row r="98" spans="1:15" s="1" customFormat="1">
      <c r="A98" s="3">
        <v>46003.977569444447</v>
      </c>
      <c r="B98" s="3">
        <v>46003.977569444447</v>
      </c>
      <c r="C98" s="4" t="s">
        <v>150</v>
      </c>
      <c r="D98" s="4">
        <v>20328602</v>
      </c>
      <c r="E98" s="4" t="s">
        <v>15</v>
      </c>
      <c r="F98" s="4">
        <v>648</v>
      </c>
      <c r="G98" s="4">
        <v>648</v>
      </c>
      <c r="H98" s="4">
        <v>0</v>
      </c>
      <c r="I98" s="4">
        <v>0</v>
      </c>
      <c r="J98" s="4">
        <v>648</v>
      </c>
      <c r="K98" s="4">
        <v>0</v>
      </c>
      <c r="L98" s="4">
        <v>648</v>
      </c>
      <c r="M98" s="5">
        <v>648</v>
      </c>
      <c r="N98" s="4">
        <v>0</v>
      </c>
      <c r="O98" s="4" t="s">
        <v>51</v>
      </c>
    </row>
    <row r="99" spans="1:15" s="1" customFormat="1">
      <c r="A99" s="3">
        <v>46004.102083333331</v>
      </c>
      <c r="B99" s="3">
        <v>46004.102083333331</v>
      </c>
      <c r="C99" s="4" t="s">
        <v>151</v>
      </c>
      <c r="D99" s="4">
        <v>20333551</v>
      </c>
      <c r="E99" s="4" t="s">
        <v>15</v>
      </c>
      <c r="F99" s="4">
        <v>648</v>
      </c>
      <c r="G99" s="4">
        <v>648</v>
      </c>
      <c r="H99" s="4">
        <v>0</v>
      </c>
      <c r="I99" s="4">
        <v>0</v>
      </c>
      <c r="J99" s="4">
        <v>648</v>
      </c>
      <c r="K99" s="4">
        <v>0</v>
      </c>
      <c r="L99" s="4">
        <v>648</v>
      </c>
      <c r="M99" s="5">
        <v>648</v>
      </c>
      <c r="N99" s="4">
        <v>0</v>
      </c>
      <c r="O99" s="4" t="s">
        <v>51</v>
      </c>
    </row>
    <row r="100" spans="1:15" s="1" customFormat="1">
      <c r="A100" s="3">
        <v>46004.387557870374</v>
      </c>
      <c r="B100" s="3">
        <v>46004.387557870374</v>
      </c>
      <c r="C100" s="4" t="s">
        <v>152</v>
      </c>
      <c r="D100" s="4">
        <v>20333261</v>
      </c>
      <c r="E100" s="4" t="s">
        <v>15</v>
      </c>
      <c r="F100" s="4">
        <v>648</v>
      </c>
      <c r="G100" s="4">
        <v>648</v>
      </c>
      <c r="H100" s="4">
        <v>0</v>
      </c>
      <c r="I100" s="4">
        <v>0</v>
      </c>
      <c r="J100" s="4">
        <v>648</v>
      </c>
      <c r="K100" s="4">
        <v>0</v>
      </c>
      <c r="L100" s="4">
        <v>648</v>
      </c>
      <c r="M100" s="5">
        <v>648</v>
      </c>
      <c r="N100" s="4">
        <v>0</v>
      </c>
      <c r="O100" s="4" t="s">
        <v>51</v>
      </c>
    </row>
    <row r="101" spans="1:15" s="1" customFormat="1">
      <c r="A101" s="3">
        <v>46004.485439814816</v>
      </c>
      <c r="B101" s="3">
        <v>46004.485439814816</v>
      </c>
      <c r="C101" s="4" t="s">
        <v>153</v>
      </c>
      <c r="D101" s="4">
        <v>14346111</v>
      </c>
      <c r="E101" s="4" t="s">
        <v>15</v>
      </c>
      <c r="F101" s="4">
        <v>648</v>
      </c>
      <c r="G101" s="4">
        <v>648</v>
      </c>
      <c r="H101" s="4">
        <v>0</v>
      </c>
      <c r="I101" s="4">
        <v>0</v>
      </c>
      <c r="J101" s="4">
        <v>648</v>
      </c>
      <c r="K101" s="4">
        <v>0</v>
      </c>
      <c r="L101" s="4">
        <v>648</v>
      </c>
      <c r="M101" s="5">
        <v>648</v>
      </c>
      <c r="N101" s="4">
        <v>0</v>
      </c>
      <c r="O101" s="4" t="s">
        <v>51</v>
      </c>
    </row>
    <row r="102" spans="1:15" s="1" customFormat="1">
      <c r="A102" s="3">
        <v>46004.539722222224</v>
      </c>
      <c r="B102" s="3">
        <v>46004.539722222224</v>
      </c>
      <c r="C102" s="4" t="s">
        <v>154</v>
      </c>
      <c r="D102" s="4">
        <v>17725909</v>
      </c>
      <c r="E102" s="4" t="s">
        <v>15</v>
      </c>
      <c r="F102" s="4">
        <v>648</v>
      </c>
      <c r="G102" s="4">
        <v>648</v>
      </c>
      <c r="H102" s="4">
        <v>0</v>
      </c>
      <c r="I102" s="4">
        <v>0</v>
      </c>
      <c r="J102" s="4">
        <v>648</v>
      </c>
      <c r="K102" s="4">
        <v>0</v>
      </c>
      <c r="L102" s="4">
        <v>648</v>
      </c>
      <c r="M102" s="5">
        <v>648</v>
      </c>
      <c r="N102" s="4">
        <v>0</v>
      </c>
      <c r="O102" s="4" t="s">
        <v>51</v>
      </c>
    </row>
    <row r="103" spans="1:15" s="1" customFormat="1">
      <c r="A103" s="3">
        <v>46004.564895833333</v>
      </c>
      <c r="B103" s="3">
        <v>46004.564895833333</v>
      </c>
      <c r="C103" s="4" t="s">
        <v>155</v>
      </c>
      <c r="D103" s="4">
        <v>19797203</v>
      </c>
      <c r="E103" s="4" t="s">
        <v>15</v>
      </c>
      <c r="F103" s="4">
        <v>648</v>
      </c>
      <c r="G103" s="4">
        <v>648</v>
      </c>
      <c r="H103" s="4">
        <v>0</v>
      </c>
      <c r="I103" s="4">
        <v>0</v>
      </c>
      <c r="J103" s="4">
        <v>648</v>
      </c>
      <c r="K103" s="4">
        <v>0</v>
      </c>
      <c r="L103" s="4">
        <v>648</v>
      </c>
      <c r="M103" s="5">
        <v>648</v>
      </c>
      <c r="N103" s="4">
        <v>0</v>
      </c>
      <c r="O103" s="4" t="s">
        <v>51</v>
      </c>
    </row>
    <row r="104" spans="1:15" s="1" customFormat="1">
      <c r="A104" s="3">
        <v>46004.577986111108</v>
      </c>
      <c r="B104" s="3">
        <v>46004.577997685185</v>
      </c>
      <c r="C104" s="4" t="s">
        <v>156</v>
      </c>
      <c r="D104" s="4">
        <v>20216539</v>
      </c>
      <c r="E104" s="4" t="s">
        <v>15</v>
      </c>
      <c r="F104" s="4">
        <v>648</v>
      </c>
      <c r="G104" s="4">
        <v>648</v>
      </c>
      <c r="H104" s="4">
        <v>0</v>
      </c>
      <c r="I104" s="4">
        <v>0</v>
      </c>
      <c r="J104" s="4">
        <v>648</v>
      </c>
      <c r="K104" s="4">
        <v>0</v>
      </c>
      <c r="L104" s="4">
        <v>648</v>
      </c>
      <c r="M104" s="5">
        <v>648</v>
      </c>
      <c r="N104" s="4">
        <v>0</v>
      </c>
      <c r="O104" s="4" t="s">
        <v>51</v>
      </c>
    </row>
    <row r="105" spans="1:15" s="1" customFormat="1">
      <c r="A105" s="3">
        <v>46004.858761574076</v>
      </c>
      <c r="B105" s="3">
        <v>46004.858761574076</v>
      </c>
      <c r="C105" s="4" t="s">
        <v>157</v>
      </c>
      <c r="D105" s="4">
        <v>20334440</v>
      </c>
      <c r="E105" s="4" t="s">
        <v>15</v>
      </c>
      <c r="F105" s="4">
        <v>648</v>
      </c>
      <c r="G105" s="4">
        <v>648</v>
      </c>
      <c r="H105" s="4">
        <v>0</v>
      </c>
      <c r="I105" s="4">
        <v>0</v>
      </c>
      <c r="J105" s="4">
        <v>648</v>
      </c>
      <c r="K105" s="4">
        <v>0</v>
      </c>
      <c r="L105" s="4">
        <v>648</v>
      </c>
      <c r="M105" s="5">
        <v>648</v>
      </c>
      <c r="N105" s="4">
        <v>0</v>
      </c>
      <c r="O105" s="4" t="s">
        <v>51</v>
      </c>
    </row>
    <row r="106" spans="1:15" s="1" customFormat="1">
      <c r="A106" s="3">
        <v>46004.859756944446</v>
      </c>
      <c r="B106" s="3">
        <v>46004.859756944446</v>
      </c>
      <c r="C106" s="4" t="s">
        <v>158</v>
      </c>
      <c r="D106" s="4">
        <v>20071680</v>
      </c>
      <c r="E106" s="4" t="s">
        <v>15</v>
      </c>
      <c r="F106" s="4">
        <v>648</v>
      </c>
      <c r="G106" s="4">
        <v>648</v>
      </c>
      <c r="H106" s="4">
        <v>0</v>
      </c>
      <c r="I106" s="4">
        <v>0</v>
      </c>
      <c r="J106" s="4">
        <v>648</v>
      </c>
      <c r="K106" s="4">
        <v>0</v>
      </c>
      <c r="L106" s="4">
        <v>648</v>
      </c>
      <c r="M106" s="5">
        <v>648</v>
      </c>
      <c r="N106" s="4">
        <v>0</v>
      </c>
      <c r="O106" s="4" t="s">
        <v>51</v>
      </c>
    </row>
    <row r="107" spans="1:15" s="1" customFormat="1">
      <c r="A107" s="3">
        <v>46004.917083333334</v>
      </c>
      <c r="B107" s="3">
        <v>46004.917083333334</v>
      </c>
      <c r="C107" s="4" t="s">
        <v>159</v>
      </c>
      <c r="D107" s="4">
        <v>13190186</v>
      </c>
      <c r="E107" s="4" t="s">
        <v>15</v>
      </c>
      <c r="F107" s="4">
        <v>648</v>
      </c>
      <c r="G107" s="4">
        <v>648</v>
      </c>
      <c r="H107" s="4">
        <v>0</v>
      </c>
      <c r="I107" s="4">
        <v>0</v>
      </c>
      <c r="J107" s="4">
        <v>648</v>
      </c>
      <c r="K107" s="4">
        <v>0</v>
      </c>
      <c r="L107" s="4">
        <v>648</v>
      </c>
      <c r="M107" s="5">
        <v>648</v>
      </c>
      <c r="N107" s="4">
        <v>0</v>
      </c>
      <c r="O107" s="4" t="s">
        <v>51</v>
      </c>
    </row>
    <row r="108" spans="1:15" s="1" customFormat="1">
      <c r="A108" s="3">
        <v>46004.962060185186</v>
      </c>
      <c r="B108" s="3">
        <v>46004.962060185186</v>
      </c>
      <c r="C108" s="4" t="s">
        <v>160</v>
      </c>
      <c r="D108" s="4">
        <v>14975450</v>
      </c>
      <c r="E108" s="4" t="s">
        <v>15</v>
      </c>
      <c r="F108" s="4">
        <v>648</v>
      </c>
      <c r="G108" s="4">
        <v>648</v>
      </c>
      <c r="H108" s="4">
        <v>0</v>
      </c>
      <c r="I108" s="4">
        <v>0</v>
      </c>
      <c r="J108" s="4">
        <v>648</v>
      </c>
      <c r="K108" s="4">
        <v>0</v>
      </c>
      <c r="L108" s="4">
        <v>648</v>
      </c>
      <c r="M108" s="5">
        <v>648</v>
      </c>
      <c r="N108" s="4">
        <v>0</v>
      </c>
      <c r="O108" s="4" t="s">
        <v>51</v>
      </c>
    </row>
    <row r="109" spans="1:15" s="1" customFormat="1">
      <c r="A109" s="3">
        <v>46005.0859837963</v>
      </c>
      <c r="B109" s="3">
        <v>46005.0859837963</v>
      </c>
      <c r="C109" s="4" t="s">
        <v>161</v>
      </c>
      <c r="D109" s="4">
        <v>18866067</v>
      </c>
      <c r="E109" s="4" t="s">
        <v>15</v>
      </c>
      <c r="F109" s="4">
        <v>648</v>
      </c>
      <c r="G109" s="4">
        <v>648</v>
      </c>
      <c r="H109" s="4">
        <v>0</v>
      </c>
      <c r="I109" s="4">
        <v>0</v>
      </c>
      <c r="J109" s="4">
        <v>648</v>
      </c>
      <c r="K109" s="4">
        <v>0</v>
      </c>
      <c r="L109" s="4">
        <v>648</v>
      </c>
      <c r="M109" s="5">
        <v>648</v>
      </c>
      <c r="N109" s="4">
        <v>0</v>
      </c>
      <c r="O109" s="4" t="s">
        <v>51</v>
      </c>
    </row>
    <row r="110" spans="1:15" s="1" customFormat="1">
      <c r="A110" s="3">
        <v>46005.122210648151</v>
      </c>
      <c r="B110" s="3">
        <v>46005.122210648151</v>
      </c>
      <c r="C110" s="4" t="s">
        <v>162</v>
      </c>
      <c r="D110" s="4">
        <v>16067397</v>
      </c>
      <c r="E110" s="4" t="s">
        <v>15</v>
      </c>
      <c r="F110" s="4">
        <v>648</v>
      </c>
      <c r="G110" s="4">
        <v>648</v>
      </c>
      <c r="H110" s="4">
        <v>0</v>
      </c>
      <c r="I110" s="4">
        <v>0</v>
      </c>
      <c r="J110" s="4">
        <v>648</v>
      </c>
      <c r="K110" s="4">
        <v>0</v>
      </c>
      <c r="L110" s="4">
        <v>648</v>
      </c>
      <c r="M110" s="5">
        <v>648</v>
      </c>
      <c r="N110" s="4">
        <v>0</v>
      </c>
      <c r="O110" s="4" t="s">
        <v>51</v>
      </c>
    </row>
    <row r="111" spans="1:15" s="1" customFormat="1">
      <c r="A111" s="3">
        <v>46005.368055555555</v>
      </c>
      <c r="B111" s="3">
        <v>46005.368055555555</v>
      </c>
      <c r="C111" s="4" t="s">
        <v>163</v>
      </c>
      <c r="D111" s="4">
        <v>20329220</v>
      </c>
      <c r="E111" s="4" t="s">
        <v>15</v>
      </c>
      <c r="F111" s="4">
        <v>648</v>
      </c>
      <c r="G111" s="4">
        <v>648</v>
      </c>
      <c r="H111" s="4">
        <v>0</v>
      </c>
      <c r="I111" s="4">
        <v>0</v>
      </c>
      <c r="J111" s="4">
        <v>648</v>
      </c>
      <c r="K111" s="4">
        <v>0</v>
      </c>
      <c r="L111" s="4">
        <v>648</v>
      </c>
      <c r="M111" s="5">
        <v>648</v>
      </c>
      <c r="N111" s="4">
        <v>0</v>
      </c>
      <c r="O111" s="4" t="s">
        <v>51</v>
      </c>
    </row>
    <row r="112" spans="1:15" s="1" customFormat="1">
      <c r="A112" s="3">
        <v>46005.398680555554</v>
      </c>
      <c r="B112" s="3">
        <v>46005.398680555554</v>
      </c>
      <c r="C112" s="4" t="s">
        <v>164</v>
      </c>
      <c r="D112" s="4">
        <v>20335111</v>
      </c>
      <c r="E112" s="4" t="s">
        <v>15</v>
      </c>
      <c r="F112" s="4">
        <v>648</v>
      </c>
      <c r="G112" s="4">
        <v>648</v>
      </c>
      <c r="H112" s="4">
        <v>0</v>
      </c>
      <c r="I112" s="4">
        <v>0</v>
      </c>
      <c r="J112" s="4">
        <v>648</v>
      </c>
      <c r="K112" s="4">
        <v>0</v>
      </c>
      <c r="L112" s="4">
        <v>648</v>
      </c>
      <c r="M112" s="5">
        <v>648</v>
      </c>
      <c r="N112" s="4">
        <v>0</v>
      </c>
      <c r="O112" s="4" t="s">
        <v>51</v>
      </c>
    </row>
    <row r="113" spans="1:15" s="1" customFormat="1">
      <c r="A113" s="3">
        <v>46005.467280092591</v>
      </c>
      <c r="B113" s="3">
        <v>46005.467280092591</v>
      </c>
      <c r="C113" s="4" t="s">
        <v>165</v>
      </c>
      <c r="D113" s="4">
        <v>16757243</v>
      </c>
      <c r="E113" s="4" t="s">
        <v>15</v>
      </c>
      <c r="F113" s="4">
        <v>648</v>
      </c>
      <c r="G113" s="4">
        <v>648</v>
      </c>
      <c r="H113" s="4">
        <v>0</v>
      </c>
      <c r="I113" s="4">
        <v>0</v>
      </c>
      <c r="J113" s="4">
        <v>648</v>
      </c>
      <c r="K113" s="4">
        <v>0</v>
      </c>
      <c r="L113" s="4">
        <v>648</v>
      </c>
      <c r="M113" s="5">
        <v>648</v>
      </c>
      <c r="N113" s="4">
        <v>0</v>
      </c>
      <c r="O113" s="4" t="s">
        <v>51</v>
      </c>
    </row>
    <row r="114" spans="1:15" s="1" customFormat="1">
      <c r="A114" s="3">
        <v>46005.490277777775</v>
      </c>
      <c r="B114" s="3">
        <v>46005.490277777775</v>
      </c>
      <c r="C114" s="4" t="s">
        <v>166</v>
      </c>
      <c r="D114" s="4">
        <v>14831646</v>
      </c>
      <c r="E114" s="4" t="s">
        <v>15</v>
      </c>
      <c r="F114" s="4">
        <v>648</v>
      </c>
      <c r="G114" s="4">
        <v>648</v>
      </c>
      <c r="H114" s="4">
        <v>0</v>
      </c>
      <c r="I114" s="4">
        <v>0</v>
      </c>
      <c r="J114" s="4">
        <v>648</v>
      </c>
      <c r="K114" s="4">
        <v>0</v>
      </c>
      <c r="L114" s="4">
        <v>648</v>
      </c>
      <c r="M114" s="5">
        <v>648</v>
      </c>
      <c r="N114" s="4">
        <v>0</v>
      </c>
      <c r="O114" s="4" t="s">
        <v>51</v>
      </c>
    </row>
    <row r="115" spans="1:15" s="1" customFormat="1">
      <c r="A115" s="3">
        <v>46005.655740740738</v>
      </c>
      <c r="B115" s="3">
        <v>46005.655740740738</v>
      </c>
      <c r="C115" s="4" t="s">
        <v>167</v>
      </c>
      <c r="D115" s="4">
        <v>20335462</v>
      </c>
      <c r="E115" s="4" t="s">
        <v>15</v>
      </c>
      <c r="F115" s="4">
        <v>648</v>
      </c>
      <c r="G115" s="4">
        <v>648</v>
      </c>
      <c r="H115" s="4">
        <v>0</v>
      </c>
      <c r="I115" s="4">
        <v>0</v>
      </c>
      <c r="J115" s="4">
        <v>648</v>
      </c>
      <c r="K115" s="4">
        <v>0</v>
      </c>
      <c r="L115" s="4">
        <v>648</v>
      </c>
      <c r="M115" s="5">
        <v>648</v>
      </c>
      <c r="N115" s="4">
        <v>0</v>
      </c>
      <c r="O115" s="4" t="s">
        <v>51</v>
      </c>
    </row>
    <row r="116" spans="1:15" s="1" customFormat="1">
      <c r="A116" s="3">
        <v>46005.916493055556</v>
      </c>
      <c r="B116" s="3">
        <v>46005.916493055556</v>
      </c>
      <c r="C116" s="4" t="s">
        <v>168</v>
      </c>
      <c r="D116" s="4">
        <v>20246404</v>
      </c>
      <c r="E116" s="4" t="s">
        <v>16</v>
      </c>
      <c r="F116" s="4">
        <v>648</v>
      </c>
      <c r="G116" s="4">
        <v>648</v>
      </c>
      <c r="H116" s="4">
        <v>0</v>
      </c>
      <c r="I116" s="4">
        <v>0</v>
      </c>
      <c r="J116" s="4">
        <v>648</v>
      </c>
      <c r="K116" s="4">
        <v>0</v>
      </c>
      <c r="L116" s="4">
        <v>648</v>
      </c>
      <c r="M116" s="5">
        <v>648</v>
      </c>
      <c r="N116" s="4">
        <v>0</v>
      </c>
      <c r="O116" s="4" t="s">
        <v>51</v>
      </c>
    </row>
    <row r="117" spans="1:15" s="1" customFormat="1">
      <c r="A117" s="3">
        <v>46005.950312499997</v>
      </c>
      <c r="B117" s="3">
        <v>46005.950312499997</v>
      </c>
      <c r="C117" s="4" t="s">
        <v>169</v>
      </c>
      <c r="D117" s="4">
        <v>20241496</v>
      </c>
      <c r="E117" s="4" t="s">
        <v>15</v>
      </c>
      <c r="F117" s="4">
        <v>648</v>
      </c>
      <c r="G117" s="4">
        <v>648</v>
      </c>
      <c r="H117" s="4">
        <v>0</v>
      </c>
      <c r="I117" s="4">
        <v>0</v>
      </c>
      <c r="J117" s="4">
        <v>648</v>
      </c>
      <c r="K117" s="4">
        <v>0</v>
      </c>
      <c r="L117" s="4">
        <v>648</v>
      </c>
      <c r="M117" s="5">
        <v>648</v>
      </c>
      <c r="N117" s="4">
        <v>0</v>
      </c>
      <c r="O117" s="4" t="s">
        <v>51</v>
      </c>
    </row>
    <row r="118" spans="1:15" s="1" customFormat="1">
      <c r="A118" s="3">
        <v>46005.971932870372</v>
      </c>
      <c r="B118" s="3">
        <v>46005.971932870372</v>
      </c>
      <c r="C118" s="4" t="s">
        <v>170</v>
      </c>
      <c r="D118" s="4">
        <v>16566760</v>
      </c>
      <c r="E118" s="4" t="s">
        <v>16</v>
      </c>
      <c r="F118" s="4">
        <v>648</v>
      </c>
      <c r="G118" s="4">
        <v>648</v>
      </c>
      <c r="H118" s="4">
        <v>0</v>
      </c>
      <c r="I118" s="4">
        <v>0</v>
      </c>
      <c r="J118" s="4">
        <v>648</v>
      </c>
      <c r="K118" s="4">
        <v>0</v>
      </c>
      <c r="L118" s="4">
        <v>648</v>
      </c>
      <c r="M118" s="5">
        <v>648</v>
      </c>
      <c r="N118" s="4">
        <v>0</v>
      </c>
      <c r="O118" s="4" t="s">
        <v>51</v>
      </c>
    </row>
    <row r="119" spans="1:15" s="1" customFormat="1">
      <c r="A119" s="3">
        <v>46005.996689814812</v>
      </c>
      <c r="B119" s="3">
        <v>46005.996689814812</v>
      </c>
      <c r="C119" s="4" t="s">
        <v>171</v>
      </c>
      <c r="D119" s="4">
        <v>13233926</v>
      </c>
      <c r="E119" s="4" t="s">
        <v>15</v>
      </c>
      <c r="F119" s="4">
        <v>648</v>
      </c>
      <c r="G119" s="4">
        <v>648</v>
      </c>
      <c r="H119" s="4">
        <v>0</v>
      </c>
      <c r="I119" s="4">
        <v>0</v>
      </c>
      <c r="J119" s="4">
        <v>648</v>
      </c>
      <c r="K119" s="4">
        <v>0</v>
      </c>
      <c r="L119" s="4">
        <v>648</v>
      </c>
      <c r="M119" s="5">
        <v>648</v>
      </c>
      <c r="N119" s="4">
        <v>0</v>
      </c>
      <c r="O119" s="4" t="s">
        <v>51</v>
      </c>
    </row>
    <row r="120" spans="1:15" s="1" customFormat="1">
      <c r="A120" s="3">
        <v>46005.999849537038</v>
      </c>
      <c r="B120" s="3">
        <v>46005.999849537038</v>
      </c>
      <c r="C120" s="4" t="s">
        <v>172</v>
      </c>
      <c r="D120" s="4">
        <v>17682459</v>
      </c>
      <c r="E120" s="4" t="s">
        <v>15</v>
      </c>
      <c r="F120" s="4">
        <v>648</v>
      </c>
      <c r="G120" s="4">
        <v>648</v>
      </c>
      <c r="H120" s="4">
        <v>0</v>
      </c>
      <c r="I120" s="4">
        <v>0</v>
      </c>
      <c r="J120" s="4">
        <v>648</v>
      </c>
      <c r="K120" s="4">
        <v>0</v>
      </c>
      <c r="L120" s="4">
        <v>648</v>
      </c>
      <c r="M120" s="5">
        <v>648</v>
      </c>
      <c r="N120" s="4">
        <v>0</v>
      </c>
      <c r="O120" s="4" t="s">
        <v>51</v>
      </c>
    </row>
    <row r="121" spans="1:15" s="1" customFormat="1">
      <c r="A121" s="3">
        <v>46006.018252314818</v>
      </c>
      <c r="B121" s="3">
        <v>46006.018414351849</v>
      </c>
      <c r="C121" s="4" t="s">
        <v>173</v>
      </c>
      <c r="D121" s="4">
        <v>20270140</v>
      </c>
      <c r="E121" s="4" t="s">
        <v>15</v>
      </c>
      <c r="F121" s="4">
        <v>1296</v>
      </c>
      <c r="G121" s="4">
        <v>648</v>
      </c>
      <c r="H121" s="4">
        <v>0</v>
      </c>
      <c r="I121" s="4">
        <v>644.76</v>
      </c>
      <c r="J121" s="4">
        <v>651.24</v>
      </c>
      <c r="K121" s="4">
        <v>0</v>
      </c>
      <c r="L121" s="4">
        <v>648</v>
      </c>
      <c r="M121" s="5">
        <v>648</v>
      </c>
      <c r="N121" s="4">
        <v>3.24</v>
      </c>
      <c r="O121" s="4" t="s">
        <v>51</v>
      </c>
    </row>
    <row r="122" spans="1:15" s="1" customFormat="1">
      <c r="A122" s="3">
        <v>46006.185624999998</v>
      </c>
      <c r="B122" s="3">
        <v>46006.185624999998</v>
      </c>
      <c r="C122" s="4" t="s">
        <v>174</v>
      </c>
      <c r="D122" s="4">
        <v>20330020</v>
      </c>
      <c r="E122" s="4" t="s">
        <v>15</v>
      </c>
      <c r="F122" s="4">
        <v>648</v>
      </c>
      <c r="G122" s="4">
        <v>648</v>
      </c>
      <c r="H122" s="4">
        <v>0</v>
      </c>
      <c r="I122" s="4">
        <v>0</v>
      </c>
      <c r="J122" s="4">
        <v>648</v>
      </c>
      <c r="K122" s="4">
        <v>0</v>
      </c>
      <c r="L122" s="4">
        <v>648</v>
      </c>
      <c r="M122" s="5">
        <v>648</v>
      </c>
      <c r="N122" s="4">
        <v>0</v>
      </c>
      <c r="O122" s="4" t="s">
        <v>51</v>
      </c>
    </row>
    <row r="123" spans="1:15" s="1" customFormat="1">
      <c r="A123" s="3">
        <v>46006.447685185187</v>
      </c>
      <c r="B123" s="3">
        <v>46006.447685185187</v>
      </c>
      <c r="C123" s="4" t="s">
        <v>175</v>
      </c>
      <c r="D123" s="4">
        <v>20336322</v>
      </c>
      <c r="E123" s="4" t="s">
        <v>15</v>
      </c>
      <c r="F123" s="4">
        <v>648</v>
      </c>
      <c r="G123" s="4">
        <v>648</v>
      </c>
      <c r="H123" s="4">
        <v>0</v>
      </c>
      <c r="I123" s="4">
        <v>0</v>
      </c>
      <c r="J123" s="4">
        <v>648</v>
      </c>
      <c r="K123" s="4">
        <v>0</v>
      </c>
      <c r="L123" s="4">
        <v>648</v>
      </c>
      <c r="M123" s="5">
        <v>648</v>
      </c>
      <c r="N123" s="4">
        <v>0</v>
      </c>
      <c r="O123" s="4" t="s">
        <v>51</v>
      </c>
    </row>
    <row r="124" spans="1:15" s="1" customFormat="1">
      <c r="A124" s="3">
        <v>46006.487025462964</v>
      </c>
      <c r="B124" s="3">
        <v>46006.487025462964</v>
      </c>
      <c r="C124" s="4" t="s">
        <v>176</v>
      </c>
      <c r="D124" s="4">
        <v>20330763</v>
      </c>
      <c r="E124" s="4" t="s">
        <v>15</v>
      </c>
      <c r="F124" s="4">
        <v>648</v>
      </c>
      <c r="G124" s="4">
        <v>648</v>
      </c>
      <c r="H124" s="4">
        <v>0</v>
      </c>
      <c r="I124" s="4">
        <v>0</v>
      </c>
      <c r="J124" s="4">
        <v>648</v>
      </c>
      <c r="K124" s="4">
        <v>0</v>
      </c>
      <c r="L124" s="4">
        <v>648</v>
      </c>
      <c r="M124" s="5">
        <v>648</v>
      </c>
      <c r="N124" s="4">
        <v>0</v>
      </c>
      <c r="O124" s="4" t="s">
        <v>51</v>
      </c>
    </row>
    <row r="125" spans="1:15" s="1" customFormat="1">
      <c r="A125" s="3">
        <v>46006.603344907409</v>
      </c>
      <c r="B125" s="3">
        <v>46006.603541666664</v>
      </c>
      <c r="C125" s="4" t="s">
        <v>177</v>
      </c>
      <c r="D125" s="4">
        <v>20336009</v>
      </c>
      <c r="E125" s="4" t="s">
        <v>15</v>
      </c>
      <c r="F125" s="4">
        <v>1296</v>
      </c>
      <c r="G125" s="4">
        <v>648</v>
      </c>
      <c r="H125" s="4">
        <v>0</v>
      </c>
      <c r="I125" s="4">
        <v>644.76</v>
      </c>
      <c r="J125" s="4">
        <v>651.24</v>
      </c>
      <c r="K125" s="4">
        <v>0</v>
      </c>
      <c r="L125" s="4">
        <v>648</v>
      </c>
      <c r="M125" s="5">
        <v>648</v>
      </c>
      <c r="N125" s="4">
        <v>3.24</v>
      </c>
      <c r="O125" s="4" t="s">
        <v>51</v>
      </c>
    </row>
    <row r="126" spans="1:15" s="1" customFormat="1">
      <c r="A126" s="3">
        <v>46006.623032407406</v>
      </c>
      <c r="B126" s="3">
        <v>46006.623032407406</v>
      </c>
      <c r="C126" s="4" t="s">
        <v>178</v>
      </c>
      <c r="D126" s="4">
        <v>16443336</v>
      </c>
      <c r="E126" s="4" t="s">
        <v>15</v>
      </c>
      <c r="F126" s="4">
        <v>648</v>
      </c>
      <c r="G126" s="4">
        <v>648</v>
      </c>
      <c r="H126" s="4">
        <v>0</v>
      </c>
      <c r="I126" s="4">
        <v>0</v>
      </c>
      <c r="J126" s="4">
        <v>648</v>
      </c>
      <c r="K126" s="4">
        <v>0</v>
      </c>
      <c r="L126" s="4">
        <v>648</v>
      </c>
      <c r="M126" s="5">
        <v>648</v>
      </c>
      <c r="N126" s="4">
        <v>0</v>
      </c>
      <c r="O126" s="4" t="s">
        <v>51</v>
      </c>
    </row>
    <row r="127" spans="1:15" s="1" customFormat="1">
      <c r="A127" s="3">
        <v>46006.733217592591</v>
      </c>
      <c r="B127" s="3">
        <v>46006.733217592591</v>
      </c>
      <c r="C127" s="4" t="s">
        <v>179</v>
      </c>
      <c r="D127" s="4">
        <v>20336562</v>
      </c>
      <c r="E127" s="4" t="s">
        <v>15</v>
      </c>
      <c r="F127" s="4">
        <v>1296</v>
      </c>
      <c r="G127" s="4">
        <v>648</v>
      </c>
      <c r="H127" s="4">
        <v>0</v>
      </c>
      <c r="I127" s="4">
        <v>644.76</v>
      </c>
      <c r="J127" s="4">
        <v>651.24</v>
      </c>
      <c r="K127" s="4">
        <v>0</v>
      </c>
      <c r="L127" s="4">
        <v>648</v>
      </c>
      <c r="M127" s="5">
        <v>648</v>
      </c>
      <c r="N127" s="4">
        <v>3.24</v>
      </c>
      <c r="O127" s="4" t="s">
        <v>51</v>
      </c>
    </row>
    <row r="128" spans="1:15" s="1" customFormat="1">
      <c r="A128" s="3">
        <v>46006.788101851853</v>
      </c>
      <c r="B128" s="3">
        <v>46006.788101851853</v>
      </c>
      <c r="C128" s="4" t="s">
        <v>180</v>
      </c>
      <c r="D128" s="4">
        <v>13472709</v>
      </c>
      <c r="E128" s="4" t="s">
        <v>15</v>
      </c>
      <c r="F128" s="4">
        <v>648</v>
      </c>
      <c r="G128" s="4">
        <v>648</v>
      </c>
      <c r="H128" s="4">
        <v>0</v>
      </c>
      <c r="I128" s="4">
        <v>0</v>
      </c>
      <c r="J128" s="4">
        <v>648</v>
      </c>
      <c r="K128" s="4">
        <v>0</v>
      </c>
      <c r="L128" s="4">
        <v>648</v>
      </c>
      <c r="M128" s="5">
        <v>648</v>
      </c>
      <c r="N128" s="4">
        <v>0</v>
      </c>
      <c r="O128" s="4" t="s">
        <v>51</v>
      </c>
    </row>
    <row r="129" spans="1:15" s="1" customFormat="1">
      <c r="A129" s="3">
        <v>46006.8434837963</v>
      </c>
      <c r="B129" s="3">
        <v>46006.8434837963</v>
      </c>
      <c r="C129" s="4" t="s">
        <v>181</v>
      </c>
      <c r="D129" s="4">
        <v>20335164</v>
      </c>
      <c r="E129" s="4" t="s">
        <v>15</v>
      </c>
      <c r="F129" s="4">
        <v>648</v>
      </c>
      <c r="G129" s="4">
        <v>648</v>
      </c>
      <c r="H129" s="4">
        <v>0</v>
      </c>
      <c r="I129" s="4">
        <v>0</v>
      </c>
      <c r="J129" s="4">
        <v>648</v>
      </c>
      <c r="K129" s="4">
        <v>0</v>
      </c>
      <c r="L129" s="4">
        <v>648</v>
      </c>
      <c r="M129" s="5">
        <v>648</v>
      </c>
      <c r="N129" s="4">
        <v>0</v>
      </c>
      <c r="O129" s="4" t="s">
        <v>51</v>
      </c>
    </row>
    <row r="130" spans="1:15" s="1" customFormat="1">
      <c r="A130" s="3">
        <v>46007.158506944441</v>
      </c>
      <c r="B130" s="3">
        <v>46007.158506944441</v>
      </c>
      <c r="C130" s="4" t="s">
        <v>182</v>
      </c>
      <c r="D130" s="4">
        <v>15553232</v>
      </c>
      <c r="E130" s="4" t="s">
        <v>15</v>
      </c>
      <c r="F130" s="4">
        <v>648</v>
      </c>
      <c r="G130" s="4">
        <v>648</v>
      </c>
      <c r="H130" s="4">
        <v>0</v>
      </c>
      <c r="I130" s="4">
        <v>0</v>
      </c>
      <c r="J130" s="4">
        <v>648</v>
      </c>
      <c r="K130" s="4">
        <v>0</v>
      </c>
      <c r="L130" s="4">
        <v>648</v>
      </c>
      <c r="M130" s="5">
        <v>648</v>
      </c>
      <c r="N130" s="4">
        <v>0</v>
      </c>
      <c r="O130" s="4" t="s">
        <v>51</v>
      </c>
    </row>
    <row r="131" spans="1:15" s="1" customFormat="1">
      <c r="A131" s="3">
        <v>46007.476180555554</v>
      </c>
      <c r="B131" s="3">
        <v>46007.476180555554</v>
      </c>
      <c r="C131" s="4" t="s">
        <v>183</v>
      </c>
      <c r="D131" s="4">
        <v>19635458</v>
      </c>
      <c r="E131" s="4" t="s">
        <v>15</v>
      </c>
      <c r="F131" s="4">
        <v>648</v>
      </c>
      <c r="G131" s="4">
        <v>648</v>
      </c>
      <c r="H131" s="4">
        <v>0</v>
      </c>
      <c r="I131" s="4">
        <v>0</v>
      </c>
      <c r="J131" s="4">
        <v>648</v>
      </c>
      <c r="K131" s="4">
        <v>0</v>
      </c>
      <c r="L131" s="4">
        <v>648</v>
      </c>
      <c r="M131" s="5">
        <v>648</v>
      </c>
      <c r="N131" s="4">
        <v>0</v>
      </c>
      <c r="O131" s="4" t="s">
        <v>51</v>
      </c>
    </row>
    <row r="132" spans="1:15" s="1" customFormat="1">
      <c r="A132" s="3">
        <v>46007.826932870368</v>
      </c>
      <c r="B132" s="3">
        <v>46007.826932870368</v>
      </c>
      <c r="C132" s="4" t="s">
        <v>184</v>
      </c>
      <c r="D132" s="4">
        <v>18055604</v>
      </c>
      <c r="E132" s="4" t="s">
        <v>15</v>
      </c>
      <c r="F132" s="4">
        <v>648</v>
      </c>
      <c r="G132" s="4">
        <v>648</v>
      </c>
      <c r="H132" s="4">
        <v>0</v>
      </c>
      <c r="I132" s="4">
        <v>0</v>
      </c>
      <c r="J132" s="4">
        <v>648</v>
      </c>
      <c r="K132" s="4">
        <v>0</v>
      </c>
      <c r="L132" s="4">
        <v>648</v>
      </c>
      <c r="M132" s="5">
        <v>648</v>
      </c>
      <c r="N132" s="4">
        <v>0</v>
      </c>
      <c r="O132" s="4" t="s">
        <v>51</v>
      </c>
    </row>
    <row r="133" spans="1:15" s="1" customFormat="1">
      <c r="A133" s="3">
        <v>46008.04414351852</v>
      </c>
      <c r="B133" s="3">
        <v>46008.04414351852</v>
      </c>
      <c r="C133" s="4" t="s">
        <v>185</v>
      </c>
      <c r="D133" s="4">
        <v>13805754</v>
      </c>
      <c r="E133" s="4" t="s">
        <v>15</v>
      </c>
      <c r="F133" s="4">
        <v>648</v>
      </c>
      <c r="G133" s="4">
        <v>648</v>
      </c>
      <c r="H133" s="4">
        <v>0</v>
      </c>
      <c r="I133" s="4">
        <v>0</v>
      </c>
      <c r="J133" s="4">
        <v>648</v>
      </c>
      <c r="K133" s="4">
        <v>0</v>
      </c>
      <c r="L133" s="4">
        <v>648</v>
      </c>
      <c r="M133" s="5">
        <v>648</v>
      </c>
      <c r="N133" s="4">
        <v>0</v>
      </c>
      <c r="O133" s="4" t="s">
        <v>51</v>
      </c>
    </row>
    <row r="134" spans="1:15" s="1" customFormat="1">
      <c r="A134" s="3">
        <v>46008.047048611108</v>
      </c>
      <c r="B134" s="3">
        <v>46008.047048611108</v>
      </c>
      <c r="C134" s="4" t="s">
        <v>186</v>
      </c>
      <c r="D134" s="4">
        <v>20338214</v>
      </c>
      <c r="E134" s="4" t="s">
        <v>15</v>
      </c>
      <c r="F134" s="4">
        <v>648</v>
      </c>
      <c r="G134" s="4">
        <v>648</v>
      </c>
      <c r="H134" s="4">
        <v>0</v>
      </c>
      <c r="I134" s="4">
        <v>0</v>
      </c>
      <c r="J134" s="4">
        <v>648</v>
      </c>
      <c r="K134" s="4">
        <v>0</v>
      </c>
      <c r="L134" s="4">
        <v>648</v>
      </c>
      <c r="M134" s="5">
        <v>648</v>
      </c>
      <c r="N134" s="4">
        <v>0</v>
      </c>
      <c r="O134" s="4" t="s">
        <v>51</v>
      </c>
    </row>
    <row r="135" spans="1:15" s="1" customFormat="1">
      <c r="A135" s="3">
        <v>46008.558032407411</v>
      </c>
      <c r="B135" s="3">
        <v>46008.558182870373</v>
      </c>
      <c r="C135" s="4" t="s">
        <v>187</v>
      </c>
      <c r="D135" s="4">
        <v>20218005</v>
      </c>
      <c r="E135" s="4" t="s">
        <v>15</v>
      </c>
      <c r="F135" s="4">
        <v>1296</v>
      </c>
      <c r="G135" s="4">
        <v>648</v>
      </c>
      <c r="H135" s="4">
        <v>0</v>
      </c>
      <c r="I135" s="4">
        <v>644.76</v>
      </c>
      <c r="J135" s="4">
        <v>651.24</v>
      </c>
      <c r="K135" s="4">
        <v>0</v>
      </c>
      <c r="L135" s="4">
        <v>648</v>
      </c>
      <c r="M135" s="5">
        <v>648</v>
      </c>
      <c r="N135" s="4">
        <v>3.24</v>
      </c>
      <c r="O135" s="4" t="s">
        <v>51</v>
      </c>
    </row>
    <row r="136" spans="1:15" s="1" customFormat="1">
      <c r="A136" s="3">
        <v>46008.578287037039</v>
      </c>
      <c r="B136" s="3">
        <v>46008.578287037039</v>
      </c>
      <c r="C136" s="4" t="s">
        <v>188</v>
      </c>
      <c r="D136" s="4">
        <v>17700647</v>
      </c>
      <c r="E136" s="4" t="s">
        <v>15</v>
      </c>
      <c r="F136" s="4">
        <v>648</v>
      </c>
      <c r="G136" s="4">
        <v>648</v>
      </c>
      <c r="H136" s="4">
        <v>0</v>
      </c>
      <c r="I136" s="4">
        <v>0</v>
      </c>
      <c r="J136" s="4">
        <v>648</v>
      </c>
      <c r="K136" s="4">
        <v>0</v>
      </c>
      <c r="L136" s="4">
        <v>648</v>
      </c>
      <c r="M136" s="5">
        <v>648</v>
      </c>
      <c r="N136" s="4">
        <v>0</v>
      </c>
      <c r="O136" s="4" t="s">
        <v>51</v>
      </c>
    </row>
    <row r="137" spans="1:15" s="1" customFormat="1">
      <c r="A137" s="3">
        <v>46008.659479166665</v>
      </c>
      <c r="B137" s="3">
        <v>46008.659479166665</v>
      </c>
      <c r="C137" s="4" t="s">
        <v>189</v>
      </c>
      <c r="D137" s="4">
        <v>20338705</v>
      </c>
      <c r="E137" s="4" t="s">
        <v>15</v>
      </c>
      <c r="F137" s="4">
        <v>648</v>
      </c>
      <c r="G137" s="4">
        <v>648</v>
      </c>
      <c r="H137" s="4">
        <v>0</v>
      </c>
      <c r="I137" s="4">
        <v>0</v>
      </c>
      <c r="J137" s="4">
        <v>648</v>
      </c>
      <c r="K137" s="4">
        <v>0</v>
      </c>
      <c r="L137" s="4">
        <v>648</v>
      </c>
      <c r="M137" s="5">
        <v>648</v>
      </c>
      <c r="N137" s="4">
        <v>0</v>
      </c>
      <c r="O137" s="4" t="s">
        <v>51</v>
      </c>
    </row>
    <row r="138" spans="1:15" s="1" customFormat="1">
      <c r="A138" s="3">
        <v>46008.697685185187</v>
      </c>
      <c r="B138" s="3">
        <v>46008.697685185187</v>
      </c>
      <c r="C138" s="4" t="s">
        <v>190</v>
      </c>
      <c r="D138" s="4">
        <v>13140272</v>
      </c>
      <c r="E138" s="4" t="s">
        <v>15</v>
      </c>
      <c r="F138" s="4">
        <v>648</v>
      </c>
      <c r="G138" s="4">
        <v>648</v>
      </c>
      <c r="H138" s="4">
        <v>0</v>
      </c>
      <c r="I138" s="4">
        <v>0</v>
      </c>
      <c r="J138" s="4">
        <v>648</v>
      </c>
      <c r="K138" s="4">
        <v>0</v>
      </c>
      <c r="L138" s="4">
        <v>648</v>
      </c>
      <c r="M138" s="5">
        <v>648</v>
      </c>
      <c r="N138" s="4">
        <v>0</v>
      </c>
      <c r="O138" s="4" t="s">
        <v>51</v>
      </c>
    </row>
    <row r="139" spans="1:15" s="1" customFormat="1">
      <c r="A139" s="3">
        <v>46008.759560185186</v>
      </c>
      <c r="B139" s="3">
        <v>46008.759560185186</v>
      </c>
      <c r="C139" s="4" t="s">
        <v>191</v>
      </c>
      <c r="D139" s="4">
        <v>15573657</v>
      </c>
      <c r="E139" s="4" t="s">
        <v>15</v>
      </c>
      <c r="F139" s="4">
        <v>648</v>
      </c>
      <c r="G139" s="4">
        <v>648</v>
      </c>
      <c r="H139" s="4">
        <v>0</v>
      </c>
      <c r="I139" s="4">
        <v>0</v>
      </c>
      <c r="J139" s="4">
        <v>648</v>
      </c>
      <c r="K139" s="4">
        <v>0</v>
      </c>
      <c r="L139" s="4">
        <v>648</v>
      </c>
      <c r="M139" s="5">
        <v>648</v>
      </c>
      <c r="N139" s="4">
        <v>0</v>
      </c>
      <c r="O139" s="4" t="s">
        <v>51</v>
      </c>
    </row>
    <row r="140" spans="1:15" s="1" customFormat="1">
      <c r="A140" s="3">
        <v>46008.791481481479</v>
      </c>
      <c r="B140" s="3">
        <v>46008.791481481479</v>
      </c>
      <c r="C140" s="4" t="s">
        <v>192</v>
      </c>
      <c r="D140" s="4">
        <v>18987430</v>
      </c>
      <c r="E140" s="4" t="s">
        <v>15</v>
      </c>
      <c r="F140" s="4">
        <v>648</v>
      </c>
      <c r="G140" s="4">
        <v>648</v>
      </c>
      <c r="H140" s="4">
        <v>0</v>
      </c>
      <c r="I140" s="4">
        <v>0</v>
      </c>
      <c r="J140" s="4">
        <v>648</v>
      </c>
      <c r="K140" s="4">
        <v>0</v>
      </c>
      <c r="L140" s="4">
        <v>648</v>
      </c>
      <c r="M140" s="5">
        <v>648</v>
      </c>
      <c r="N140" s="4">
        <v>0</v>
      </c>
      <c r="O140" s="4" t="s">
        <v>51</v>
      </c>
    </row>
    <row r="141" spans="1:15" s="1" customFormat="1">
      <c r="A141" s="3">
        <v>46008.98101851852</v>
      </c>
      <c r="B141" s="3">
        <v>46008.98101851852</v>
      </c>
      <c r="C141" s="4" t="s">
        <v>193</v>
      </c>
      <c r="D141" s="4">
        <v>19405252</v>
      </c>
      <c r="E141" s="4" t="s">
        <v>15</v>
      </c>
      <c r="F141" s="4">
        <v>648</v>
      </c>
      <c r="G141" s="4">
        <v>648</v>
      </c>
      <c r="H141" s="4">
        <v>0</v>
      </c>
      <c r="I141" s="4">
        <v>0</v>
      </c>
      <c r="J141" s="4">
        <v>648</v>
      </c>
      <c r="K141" s="4">
        <v>0</v>
      </c>
      <c r="L141" s="4">
        <v>648</v>
      </c>
      <c r="M141" s="5">
        <v>648</v>
      </c>
      <c r="N141" s="4">
        <v>0</v>
      </c>
      <c r="O141" s="4" t="s">
        <v>51</v>
      </c>
    </row>
    <row r="142" spans="1:15" s="1" customFormat="1">
      <c r="A142" s="3">
        <v>46008.993287037039</v>
      </c>
      <c r="B142" s="3">
        <v>46008.993287037039</v>
      </c>
      <c r="C142" s="4" t="s">
        <v>194</v>
      </c>
      <c r="D142" s="4">
        <v>20339162</v>
      </c>
      <c r="E142" s="4" t="s">
        <v>15</v>
      </c>
      <c r="F142" s="4">
        <v>648</v>
      </c>
      <c r="G142" s="4">
        <v>648</v>
      </c>
      <c r="H142" s="4">
        <v>0</v>
      </c>
      <c r="I142" s="4">
        <v>0</v>
      </c>
      <c r="J142" s="4">
        <v>648</v>
      </c>
      <c r="K142" s="4">
        <v>0</v>
      </c>
      <c r="L142" s="4">
        <v>648</v>
      </c>
      <c r="M142" s="5">
        <v>648</v>
      </c>
      <c r="N142" s="4">
        <v>0</v>
      </c>
      <c r="O142" s="4" t="s">
        <v>51</v>
      </c>
    </row>
    <row r="143" spans="1:15" s="1" customFormat="1">
      <c r="A143" s="3">
        <v>46008.996863425928</v>
      </c>
      <c r="B143" s="3">
        <v>46008.996863425928</v>
      </c>
      <c r="C143" s="4" t="s">
        <v>195</v>
      </c>
      <c r="D143" s="4">
        <v>20336263</v>
      </c>
      <c r="E143" s="4" t="s">
        <v>15</v>
      </c>
      <c r="F143" s="4">
        <v>648</v>
      </c>
      <c r="G143" s="4">
        <v>648</v>
      </c>
      <c r="H143" s="4">
        <v>0</v>
      </c>
      <c r="I143" s="4">
        <v>0</v>
      </c>
      <c r="J143" s="4">
        <v>648</v>
      </c>
      <c r="K143" s="4">
        <v>0</v>
      </c>
      <c r="L143" s="4">
        <v>648</v>
      </c>
      <c r="M143" s="5">
        <v>648</v>
      </c>
      <c r="N143" s="4">
        <v>0</v>
      </c>
      <c r="O143" s="4" t="s">
        <v>51</v>
      </c>
    </row>
    <row r="144" spans="1:15" s="1" customFormat="1">
      <c r="A144" s="3">
        <v>46009.01289351852</v>
      </c>
      <c r="B144" s="3">
        <v>46009.01289351852</v>
      </c>
      <c r="C144" s="4" t="s">
        <v>196</v>
      </c>
      <c r="D144" s="4">
        <v>20339207</v>
      </c>
      <c r="E144" s="4" t="s">
        <v>15</v>
      </c>
      <c r="F144" s="4">
        <v>648</v>
      </c>
      <c r="G144" s="4">
        <v>648</v>
      </c>
      <c r="H144" s="4">
        <v>0</v>
      </c>
      <c r="I144" s="4">
        <v>0</v>
      </c>
      <c r="J144" s="4">
        <v>648</v>
      </c>
      <c r="K144" s="4">
        <v>0</v>
      </c>
      <c r="L144" s="4">
        <v>648</v>
      </c>
      <c r="M144" s="5">
        <v>648</v>
      </c>
      <c r="N144" s="4">
        <v>0</v>
      </c>
      <c r="O144" s="4" t="s">
        <v>51</v>
      </c>
    </row>
    <row r="145" spans="1:15" s="1" customFormat="1">
      <c r="A145" s="3">
        <v>46009.277800925927</v>
      </c>
      <c r="B145" s="3">
        <v>46009.277800925927</v>
      </c>
      <c r="C145" s="4" t="s">
        <v>197</v>
      </c>
      <c r="D145" s="4">
        <v>14694071</v>
      </c>
      <c r="E145" s="4" t="s">
        <v>15</v>
      </c>
      <c r="F145" s="4">
        <v>648</v>
      </c>
      <c r="G145" s="4">
        <v>648</v>
      </c>
      <c r="H145" s="4">
        <v>0</v>
      </c>
      <c r="I145" s="4">
        <v>0</v>
      </c>
      <c r="J145" s="4">
        <v>648</v>
      </c>
      <c r="K145" s="4">
        <v>0</v>
      </c>
      <c r="L145" s="4">
        <v>648</v>
      </c>
      <c r="M145" s="5">
        <v>648</v>
      </c>
      <c r="N145" s="4">
        <v>0</v>
      </c>
      <c r="O145" s="4" t="s">
        <v>51</v>
      </c>
    </row>
    <row r="146" spans="1:15" s="1" customFormat="1">
      <c r="A146" s="3">
        <v>46009.312337962961</v>
      </c>
      <c r="B146" s="3">
        <v>46009.312337962961</v>
      </c>
      <c r="C146" s="4" t="s">
        <v>198</v>
      </c>
      <c r="D146" s="4">
        <v>20339466</v>
      </c>
      <c r="E146" s="4" t="s">
        <v>15</v>
      </c>
      <c r="F146" s="4">
        <v>648</v>
      </c>
      <c r="G146" s="4">
        <v>648</v>
      </c>
      <c r="H146" s="4">
        <v>0</v>
      </c>
      <c r="I146" s="4">
        <v>0</v>
      </c>
      <c r="J146" s="4">
        <v>648</v>
      </c>
      <c r="K146" s="4">
        <v>0</v>
      </c>
      <c r="L146" s="4">
        <v>648</v>
      </c>
      <c r="M146" s="5">
        <v>648</v>
      </c>
      <c r="N146" s="4">
        <v>0</v>
      </c>
      <c r="O146" s="4" t="s">
        <v>51</v>
      </c>
    </row>
    <row r="147" spans="1:15" s="1" customFormat="1">
      <c r="A147" s="3">
        <v>46009.33935185185</v>
      </c>
      <c r="B147" s="3">
        <v>46009.33935185185</v>
      </c>
      <c r="C147" s="4" t="s">
        <v>199</v>
      </c>
      <c r="D147" s="4">
        <v>20338873</v>
      </c>
      <c r="E147" s="4" t="s">
        <v>15</v>
      </c>
      <c r="F147" s="4">
        <v>648</v>
      </c>
      <c r="G147" s="4">
        <v>648</v>
      </c>
      <c r="H147" s="4">
        <v>0</v>
      </c>
      <c r="I147" s="4">
        <v>0</v>
      </c>
      <c r="J147" s="4">
        <v>648</v>
      </c>
      <c r="K147" s="4">
        <v>0</v>
      </c>
      <c r="L147" s="4">
        <v>648</v>
      </c>
      <c r="M147" s="5">
        <v>648</v>
      </c>
      <c r="N147" s="4">
        <v>0</v>
      </c>
      <c r="O147" s="4" t="s">
        <v>51</v>
      </c>
    </row>
    <row r="148" spans="1:15" s="1" customFormat="1">
      <c r="A148" s="3">
        <v>46009.490844907406</v>
      </c>
      <c r="B148" s="3">
        <v>46009.490925925929</v>
      </c>
      <c r="C148" s="4" t="s">
        <v>200</v>
      </c>
      <c r="D148" s="4">
        <v>20339595</v>
      </c>
      <c r="E148" s="4" t="s">
        <v>15</v>
      </c>
      <c r="F148" s="4">
        <v>1296</v>
      </c>
      <c r="G148" s="4">
        <v>648</v>
      </c>
      <c r="H148" s="4">
        <v>0</v>
      </c>
      <c r="I148" s="4">
        <v>644.76</v>
      </c>
      <c r="J148" s="4">
        <v>651.24</v>
      </c>
      <c r="K148" s="4">
        <v>0</v>
      </c>
      <c r="L148" s="4">
        <v>648</v>
      </c>
      <c r="M148" s="5">
        <v>648</v>
      </c>
      <c r="N148" s="4">
        <v>3.24</v>
      </c>
      <c r="O148" s="4" t="s">
        <v>51</v>
      </c>
    </row>
    <row r="149" spans="1:15" s="1" customFormat="1">
      <c r="A149" s="3">
        <v>46009.50409722222</v>
      </c>
      <c r="B149" s="3">
        <v>46009.50409722222</v>
      </c>
      <c r="C149" s="4" t="s">
        <v>201</v>
      </c>
      <c r="D149" s="4">
        <v>20339556</v>
      </c>
      <c r="E149" s="4" t="s">
        <v>15</v>
      </c>
      <c r="F149" s="4">
        <v>648</v>
      </c>
      <c r="G149" s="4">
        <v>648</v>
      </c>
      <c r="H149" s="4">
        <v>0</v>
      </c>
      <c r="I149" s="4">
        <v>0</v>
      </c>
      <c r="J149" s="4">
        <v>648</v>
      </c>
      <c r="K149" s="4">
        <v>0</v>
      </c>
      <c r="L149" s="4">
        <v>648</v>
      </c>
      <c r="M149" s="5">
        <v>648</v>
      </c>
      <c r="N149" s="4">
        <v>0</v>
      </c>
      <c r="O149" s="4" t="s">
        <v>51</v>
      </c>
    </row>
    <row r="150" spans="1:15" s="1" customFormat="1">
      <c r="A150" s="3">
        <v>46009.582129629627</v>
      </c>
      <c r="B150" s="3">
        <v>46009.582129629627</v>
      </c>
      <c r="C150" s="4" t="s">
        <v>202</v>
      </c>
      <c r="D150" s="4">
        <v>20339700</v>
      </c>
      <c r="E150" s="4" t="s">
        <v>15</v>
      </c>
      <c r="F150" s="4">
        <v>648</v>
      </c>
      <c r="G150" s="4">
        <v>648</v>
      </c>
      <c r="H150" s="4">
        <v>0</v>
      </c>
      <c r="I150" s="4">
        <v>0</v>
      </c>
      <c r="J150" s="4">
        <v>648</v>
      </c>
      <c r="K150" s="4">
        <v>0</v>
      </c>
      <c r="L150" s="4">
        <v>648</v>
      </c>
      <c r="M150" s="5">
        <v>648</v>
      </c>
      <c r="N150" s="4">
        <v>0</v>
      </c>
      <c r="O150" s="4" t="s">
        <v>51</v>
      </c>
    </row>
    <row r="151" spans="1:15" s="1" customFormat="1">
      <c r="A151" s="3">
        <v>46009.823946759258</v>
      </c>
      <c r="B151" s="3">
        <v>46009.823946759258</v>
      </c>
      <c r="C151" s="4" t="s">
        <v>203</v>
      </c>
      <c r="D151" s="4">
        <v>20340026</v>
      </c>
      <c r="E151" s="4" t="s">
        <v>15</v>
      </c>
      <c r="F151" s="4">
        <v>648</v>
      </c>
      <c r="G151" s="4">
        <v>648</v>
      </c>
      <c r="H151" s="4">
        <v>0</v>
      </c>
      <c r="I151" s="4">
        <v>0</v>
      </c>
      <c r="J151" s="4">
        <v>648</v>
      </c>
      <c r="K151" s="4">
        <v>0</v>
      </c>
      <c r="L151" s="4">
        <v>648</v>
      </c>
      <c r="M151" s="5">
        <v>648</v>
      </c>
      <c r="N151" s="4">
        <v>0</v>
      </c>
      <c r="O151" s="4" t="s">
        <v>51</v>
      </c>
    </row>
    <row r="152" spans="1:15" s="1" customFormat="1">
      <c r="A152" s="3">
        <v>46009.826180555552</v>
      </c>
      <c r="B152" s="3">
        <v>46009.826180555552</v>
      </c>
      <c r="C152" s="4" t="s">
        <v>204</v>
      </c>
      <c r="D152" s="4">
        <v>20340028</v>
      </c>
      <c r="E152" s="4" t="s">
        <v>15</v>
      </c>
      <c r="F152" s="4">
        <v>648</v>
      </c>
      <c r="G152" s="4">
        <v>648</v>
      </c>
      <c r="H152" s="4">
        <v>0</v>
      </c>
      <c r="I152" s="4">
        <v>0</v>
      </c>
      <c r="J152" s="4">
        <v>648</v>
      </c>
      <c r="K152" s="4">
        <v>0</v>
      </c>
      <c r="L152" s="4">
        <v>648</v>
      </c>
      <c r="M152" s="5">
        <v>648</v>
      </c>
      <c r="N152" s="4">
        <v>0</v>
      </c>
      <c r="O152" s="4" t="s">
        <v>51</v>
      </c>
    </row>
    <row r="153" spans="1:15" s="1" customFormat="1">
      <c r="A153" s="3">
        <v>46010.021932870368</v>
      </c>
      <c r="B153" s="3">
        <v>46010.021932870368</v>
      </c>
      <c r="C153" s="4" t="s">
        <v>205</v>
      </c>
      <c r="D153" s="4">
        <v>17784393</v>
      </c>
      <c r="E153" s="4" t="s">
        <v>15</v>
      </c>
      <c r="F153" s="4">
        <v>648</v>
      </c>
      <c r="G153" s="4">
        <v>648</v>
      </c>
      <c r="H153" s="4">
        <v>0</v>
      </c>
      <c r="I153" s="4">
        <v>0</v>
      </c>
      <c r="J153" s="4">
        <v>648</v>
      </c>
      <c r="K153" s="4">
        <v>0</v>
      </c>
      <c r="L153" s="4">
        <v>648</v>
      </c>
      <c r="M153" s="5">
        <v>648</v>
      </c>
      <c r="N153" s="4">
        <v>0</v>
      </c>
      <c r="O153" s="4" t="s">
        <v>51</v>
      </c>
    </row>
    <row r="154" spans="1:15" s="1" customFormat="1">
      <c r="A154" s="3">
        <v>46010.059618055559</v>
      </c>
      <c r="B154" s="3">
        <v>46010.059618055559</v>
      </c>
      <c r="C154" s="4" t="s">
        <v>206</v>
      </c>
      <c r="D154" s="4">
        <v>20340447</v>
      </c>
      <c r="E154" s="4" t="s">
        <v>15</v>
      </c>
      <c r="F154" s="4">
        <v>648</v>
      </c>
      <c r="G154" s="4">
        <v>648</v>
      </c>
      <c r="H154" s="4">
        <v>0</v>
      </c>
      <c r="I154" s="4">
        <v>0</v>
      </c>
      <c r="J154" s="4">
        <v>648</v>
      </c>
      <c r="K154" s="4">
        <v>0</v>
      </c>
      <c r="L154" s="4">
        <v>648</v>
      </c>
      <c r="M154" s="5">
        <v>648</v>
      </c>
      <c r="N154" s="4">
        <v>0</v>
      </c>
      <c r="O154" s="4" t="s">
        <v>51</v>
      </c>
    </row>
    <row r="155" spans="1:15" s="1" customFormat="1">
      <c r="A155" s="3">
        <v>46010.175023148149</v>
      </c>
      <c r="B155" s="3">
        <v>46010.175023148149</v>
      </c>
      <c r="C155" s="4" t="s">
        <v>207</v>
      </c>
      <c r="D155" s="4">
        <v>18161175</v>
      </c>
      <c r="E155" s="4" t="s">
        <v>15</v>
      </c>
      <c r="F155" s="4">
        <v>648</v>
      </c>
      <c r="G155" s="4">
        <v>648</v>
      </c>
      <c r="H155" s="4">
        <v>0</v>
      </c>
      <c r="I155" s="4">
        <v>0</v>
      </c>
      <c r="J155" s="4">
        <v>648</v>
      </c>
      <c r="K155" s="4">
        <v>0</v>
      </c>
      <c r="L155" s="4">
        <v>648</v>
      </c>
      <c r="M155" s="5">
        <v>648</v>
      </c>
      <c r="N155" s="4">
        <v>0</v>
      </c>
      <c r="O155" s="4" t="s">
        <v>51</v>
      </c>
    </row>
    <row r="156" spans="1:15" s="1" customFormat="1">
      <c r="A156" s="3">
        <v>46010.208715277775</v>
      </c>
      <c r="B156" s="3">
        <v>46010.208831018521</v>
      </c>
      <c r="C156" s="4" t="s">
        <v>208</v>
      </c>
      <c r="D156" s="4">
        <v>18949640</v>
      </c>
      <c r="E156" s="4" t="s">
        <v>15</v>
      </c>
      <c r="F156" s="4">
        <v>1296</v>
      </c>
      <c r="G156" s="4">
        <v>648</v>
      </c>
      <c r="H156" s="4">
        <v>0</v>
      </c>
      <c r="I156" s="4">
        <v>644.76</v>
      </c>
      <c r="J156" s="4">
        <v>651.24</v>
      </c>
      <c r="K156" s="4">
        <v>0</v>
      </c>
      <c r="L156" s="4">
        <v>648</v>
      </c>
      <c r="M156" s="5">
        <v>648</v>
      </c>
      <c r="N156" s="4">
        <v>3.24</v>
      </c>
      <c r="O156" s="4" t="s">
        <v>51</v>
      </c>
    </row>
    <row r="157" spans="1:15" s="1" customFormat="1">
      <c r="A157" s="3">
        <v>46010.210833333331</v>
      </c>
      <c r="B157" s="3">
        <v>46010.210833333331</v>
      </c>
      <c r="C157" s="4" t="s">
        <v>209</v>
      </c>
      <c r="D157" s="4">
        <v>20340598</v>
      </c>
      <c r="E157" s="4" t="s">
        <v>15</v>
      </c>
      <c r="F157" s="4">
        <v>648</v>
      </c>
      <c r="G157" s="4">
        <v>648</v>
      </c>
      <c r="H157" s="4">
        <v>0</v>
      </c>
      <c r="I157" s="4">
        <v>0</v>
      </c>
      <c r="J157" s="4">
        <v>648</v>
      </c>
      <c r="K157" s="4">
        <v>0</v>
      </c>
      <c r="L157" s="4">
        <v>648</v>
      </c>
      <c r="M157" s="5">
        <v>648</v>
      </c>
      <c r="N157" s="4">
        <v>0</v>
      </c>
      <c r="O157" s="4" t="s">
        <v>51</v>
      </c>
    </row>
    <row r="158" spans="1:15" s="1" customFormat="1">
      <c r="A158" s="3">
        <v>46010.375208333331</v>
      </c>
      <c r="B158" s="3">
        <v>46010.375208333331</v>
      </c>
      <c r="C158" s="4" t="s">
        <v>210</v>
      </c>
      <c r="D158" s="4">
        <v>18563471</v>
      </c>
      <c r="E158" s="4" t="s">
        <v>15</v>
      </c>
      <c r="F158" s="4">
        <v>648</v>
      </c>
      <c r="G158" s="4">
        <v>648</v>
      </c>
      <c r="H158" s="4">
        <v>0</v>
      </c>
      <c r="I158" s="4">
        <v>0</v>
      </c>
      <c r="J158" s="4">
        <v>648</v>
      </c>
      <c r="K158" s="4">
        <v>0</v>
      </c>
      <c r="L158" s="4">
        <v>648</v>
      </c>
      <c r="M158" s="5">
        <v>648</v>
      </c>
      <c r="N158" s="4">
        <v>0</v>
      </c>
      <c r="O158" s="4" t="s">
        <v>51</v>
      </c>
    </row>
    <row r="159" spans="1:15" s="1" customFormat="1">
      <c r="A159" s="3">
        <v>46010.40215277778</v>
      </c>
      <c r="B159" s="3">
        <v>46010.40215277778</v>
      </c>
      <c r="C159" s="4" t="s">
        <v>211</v>
      </c>
      <c r="D159" s="4">
        <v>20340704</v>
      </c>
      <c r="E159" s="4" t="s">
        <v>15</v>
      </c>
      <c r="F159" s="4">
        <v>648</v>
      </c>
      <c r="G159" s="4">
        <v>648</v>
      </c>
      <c r="H159" s="4">
        <v>0</v>
      </c>
      <c r="I159" s="4">
        <v>0</v>
      </c>
      <c r="J159" s="4">
        <v>648</v>
      </c>
      <c r="K159" s="4">
        <v>0</v>
      </c>
      <c r="L159" s="4">
        <v>648</v>
      </c>
      <c r="M159" s="5">
        <v>648</v>
      </c>
      <c r="N159" s="4">
        <v>0</v>
      </c>
      <c r="O159" s="4" t="s">
        <v>51</v>
      </c>
    </row>
    <row r="160" spans="1:15" s="1" customFormat="1">
      <c r="A160" s="3">
        <v>46010.907835648148</v>
      </c>
      <c r="B160" s="3">
        <v>46010.907835648148</v>
      </c>
      <c r="C160" s="4" t="s">
        <v>212</v>
      </c>
      <c r="D160" s="4">
        <v>10974521</v>
      </c>
      <c r="E160" s="4" t="s">
        <v>15</v>
      </c>
      <c r="F160" s="4">
        <v>648</v>
      </c>
      <c r="G160" s="4">
        <v>648</v>
      </c>
      <c r="H160" s="4">
        <v>0</v>
      </c>
      <c r="I160" s="4">
        <v>0</v>
      </c>
      <c r="J160" s="4">
        <v>648</v>
      </c>
      <c r="K160" s="4">
        <v>0</v>
      </c>
      <c r="L160" s="4">
        <v>648</v>
      </c>
      <c r="M160" s="5">
        <v>648</v>
      </c>
      <c r="N160" s="4">
        <v>0</v>
      </c>
      <c r="O160" s="4" t="s">
        <v>51</v>
      </c>
    </row>
    <row r="161" spans="1:15" s="1" customFormat="1">
      <c r="A161" s="3">
        <v>46010.939085648148</v>
      </c>
      <c r="B161" s="3">
        <v>46010.939085648148</v>
      </c>
      <c r="C161" s="4" t="s">
        <v>213</v>
      </c>
      <c r="D161" s="4">
        <v>19522364</v>
      </c>
      <c r="E161" s="4" t="s">
        <v>16</v>
      </c>
      <c r="F161" s="4">
        <v>648</v>
      </c>
      <c r="G161" s="4">
        <v>648</v>
      </c>
      <c r="H161" s="4">
        <v>0</v>
      </c>
      <c r="I161" s="4">
        <v>0</v>
      </c>
      <c r="J161" s="4">
        <v>648</v>
      </c>
      <c r="K161" s="4">
        <v>0</v>
      </c>
      <c r="L161" s="4">
        <v>648</v>
      </c>
      <c r="M161" s="5">
        <v>648</v>
      </c>
      <c r="N161" s="4">
        <v>0</v>
      </c>
      <c r="O161" s="4" t="s">
        <v>51</v>
      </c>
    </row>
    <row r="162" spans="1:15" s="1" customFormat="1">
      <c r="A162" s="3">
        <v>46010.999918981484</v>
      </c>
      <c r="B162" s="3">
        <v>46010.999918981484</v>
      </c>
      <c r="C162" s="4" t="s">
        <v>214</v>
      </c>
      <c r="D162" s="4">
        <v>18096021</v>
      </c>
      <c r="E162" s="4" t="s">
        <v>15</v>
      </c>
      <c r="F162" s="4">
        <v>2000</v>
      </c>
      <c r="G162" s="4">
        <v>648</v>
      </c>
      <c r="H162" s="4">
        <v>0</v>
      </c>
      <c r="I162" s="4">
        <v>1345.24</v>
      </c>
      <c r="J162" s="4">
        <v>654.76</v>
      </c>
      <c r="K162" s="4">
        <v>0</v>
      </c>
      <c r="L162" s="4">
        <v>648</v>
      </c>
      <c r="M162" s="5">
        <v>648</v>
      </c>
      <c r="N162" s="4">
        <v>6.76</v>
      </c>
      <c r="O162" s="4" t="s">
        <v>51</v>
      </c>
    </row>
    <row r="163" spans="1:15" s="1" customFormat="1">
      <c r="A163" s="3">
        <v>46011.513541666667</v>
      </c>
      <c r="B163" s="3">
        <v>46011.513541666667</v>
      </c>
      <c r="C163" s="4" t="s">
        <v>215</v>
      </c>
      <c r="D163" s="4">
        <v>19226585</v>
      </c>
      <c r="E163" s="4" t="s">
        <v>15</v>
      </c>
      <c r="F163" s="4">
        <v>648</v>
      </c>
      <c r="G163" s="4">
        <v>648</v>
      </c>
      <c r="H163" s="4">
        <v>0</v>
      </c>
      <c r="I163" s="4">
        <v>0</v>
      </c>
      <c r="J163" s="4">
        <v>648</v>
      </c>
      <c r="K163" s="4">
        <v>0</v>
      </c>
      <c r="L163" s="4">
        <v>648</v>
      </c>
      <c r="M163" s="5">
        <v>648</v>
      </c>
      <c r="N163" s="4">
        <v>0</v>
      </c>
      <c r="O163" s="4" t="s">
        <v>51</v>
      </c>
    </row>
    <row r="164" spans="1:15" s="1" customFormat="1">
      <c r="A164" s="3">
        <v>46011.576817129629</v>
      </c>
      <c r="B164" s="3">
        <v>46011.576817129629</v>
      </c>
      <c r="C164" s="4" t="s">
        <v>216</v>
      </c>
      <c r="D164" s="4">
        <v>20082426</v>
      </c>
      <c r="E164" s="4" t="s">
        <v>15</v>
      </c>
      <c r="F164" s="4">
        <v>648</v>
      </c>
      <c r="G164" s="4">
        <v>648</v>
      </c>
      <c r="H164" s="4">
        <v>0</v>
      </c>
      <c r="I164" s="4">
        <v>0</v>
      </c>
      <c r="J164" s="4">
        <v>648</v>
      </c>
      <c r="K164" s="4">
        <v>0</v>
      </c>
      <c r="L164" s="4">
        <v>648</v>
      </c>
      <c r="M164" s="5">
        <v>648</v>
      </c>
      <c r="N164" s="4">
        <v>0</v>
      </c>
      <c r="O164" s="4" t="s">
        <v>51</v>
      </c>
    </row>
    <row r="165" spans="1:15" s="1" customFormat="1">
      <c r="A165" s="3">
        <v>46011.600104166668</v>
      </c>
      <c r="B165" s="3">
        <v>46011.600104166668</v>
      </c>
      <c r="C165" s="4" t="s">
        <v>217</v>
      </c>
      <c r="D165" s="4">
        <v>19922900</v>
      </c>
      <c r="E165" s="4" t="s">
        <v>15</v>
      </c>
      <c r="F165" s="4">
        <v>648</v>
      </c>
      <c r="G165" s="4">
        <v>648</v>
      </c>
      <c r="H165" s="4">
        <v>0</v>
      </c>
      <c r="I165" s="4">
        <v>0</v>
      </c>
      <c r="J165" s="4">
        <v>648</v>
      </c>
      <c r="K165" s="4">
        <v>0</v>
      </c>
      <c r="L165" s="4">
        <v>648</v>
      </c>
      <c r="M165" s="5">
        <v>648</v>
      </c>
      <c r="N165" s="4">
        <v>0</v>
      </c>
      <c r="O165" s="4" t="s">
        <v>51</v>
      </c>
    </row>
    <row r="166" spans="1:15" s="1" customFormat="1">
      <c r="A166" s="3">
        <v>46011.769236111111</v>
      </c>
      <c r="B166" s="3">
        <v>46011.769236111111</v>
      </c>
      <c r="C166" s="4" t="s">
        <v>218</v>
      </c>
      <c r="D166" s="4">
        <v>13967952</v>
      </c>
      <c r="E166" s="4" t="s">
        <v>15</v>
      </c>
      <c r="F166" s="4">
        <v>648</v>
      </c>
      <c r="G166" s="4">
        <v>648</v>
      </c>
      <c r="H166" s="4">
        <v>0</v>
      </c>
      <c r="I166" s="4">
        <v>0</v>
      </c>
      <c r="J166" s="4">
        <v>648</v>
      </c>
      <c r="K166" s="4">
        <v>0</v>
      </c>
      <c r="L166" s="4">
        <v>648</v>
      </c>
      <c r="M166" s="5">
        <v>648</v>
      </c>
      <c r="N166" s="4">
        <v>0</v>
      </c>
      <c r="O166" s="4" t="s">
        <v>51</v>
      </c>
    </row>
    <row r="167" spans="1:15" s="1" customFormat="1">
      <c r="A167" s="3">
        <v>46011.813807870371</v>
      </c>
      <c r="B167" s="3">
        <v>46011.813807870371</v>
      </c>
      <c r="C167" s="4" t="s">
        <v>219</v>
      </c>
      <c r="D167" s="4">
        <v>764121</v>
      </c>
      <c r="E167" s="4" t="s">
        <v>15</v>
      </c>
      <c r="F167" s="4">
        <v>648</v>
      </c>
      <c r="G167" s="4">
        <v>648</v>
      </c>
      <c r="H167" s="4">
        <v>0</v>
      </c>
      <c r="I167" s="4">
        <v>0</v>
      </c>
      <c r="J167" s="4">
        <v>648</v>
      </c>
      <c r="K167" s="4">
        <v>0</v>
      </c>
      <c r="L167" s="4">
        <v>648</v>
      </c>
      <c r="M167" s="5">
        <v>648</v>
      </c>
      <c r="N167" s="4">
        <v>0</v>
      </c>
      <c r="O167" s="4" t="s">
        <v>51</v>
      </c>
    </row>
    <row r="168" spans="1:15" s="1" customFormat="1">
      <c r="A168" s="3">
        <v>46011.958541666667</v>
      </c>
      <c r="B168" s="3">
        <v>46011.958541666667</v>
      </c>
      <c r="C168" s="4" t="s">
        <v>220</v>
      </c>
      <c r="D168" s="4">
        <v>20342811</v>
      </c>
      <c r="E168" s="4" t="s">
        <v>15</v>
      </c>
      <c r="F168" s="4">
        <v>648</v>
      </c>
      <c r="G168" s="4">
        <v>648</v>
      </c>
      <c r="H168" s="4">
        <v>0</v>
      </c>
      <c r="I168" s="4">
        <v>0</v>
      </c>
      <c r="J168" s="4">
        <v>648</v>
      </c>
      <c r="K168" s="4">
        <v>0</v>
      </c>
      <c r="L168" s="4">
        <v>648</v>
      </c>
      <c r="M168" s="5">
        <v>648</v>
      </c>
      <c r="N168" s="4">
        <v>0</v>
      </c>
      <c r="O168" s="4" t="s">
        <v>51</v>
      </c>
    </row>
    <row r="169" spans="1:15" s="1" customFormat="1">
      <c r="A169" s="3">
        <v>46011.969629629632</v>
      </c>
      <c r="B169" s="3">
        <v>46011.969629629632</v>
      </c>
      <c r="C169" s="4" t="s">
        <v>221</v>
      </c>
      <c r="D169" s="4">
        <v>20331906</v>
      </c>
      <c r="E169" s="4" t="s">
        <v>15</v>
      </c>
      <c r="F169" s="4">
        <v>648</v>
      </c>
      <c r="G169" s="4">
        <v>648</v>
      </c>
      <c r="H169" s="4">
        <v>0</v>
      </c>
      <c r="I169" s="4">
        <v>0</v>
      </c>
      <c r="J169" s="4">
        <v>648</v>
      </c>
      <c r="K169" s="4">
        <v>0</v>
      </c>
      <c r="L169" s="4">
        <v>648</v>
      </c>
      <c r="M169" s="5">
        <v>648</v>
      </c>
      <c r="N169" s="4">
        <v>0</v>
      </c>
      <c r="O169" s="4" t="s">
        <v>51</v>
      </c>
    </row>
    <row r="170" spans="1:15" s="1" customFormat="1">
      <c r="A170" s="3">
        <v>46012.04142361111</v>
      </c>
      <c r="B170" s="3">
        <v>46012.04142361111</v>
      </c>
      <c r="C170" s="4" t="s">
        <v>222</v>
      </c>
      <c r="D170" s="4">
        <v>20343047</v>
      </c>
      <c r="E170" s="4" t="s">
        <v>15</v>
      </c>
      <c r="F170" s="4">
        <v>648</v>
      </c>
      <c r="G170" s="4">
        <v>648</v>
      </c>
      <c r="H170" s="4">
        <v>0</v>
      </c>
      <c r="I170" s="4">
        <v>0</v>
      </c>
      <c r="J170" s="4">
        <v>648</v>
      </c>
      <c r="K170" s="4">
        <v>0</v>
      </c>
      <c r="L170" s="4">
        <v>648</v>
      </c>
      <c r="M170" s="5">
        <v>648</v>
      </c>
      <c r="N170" s="4">
        <v>0</v>
      </c>
      <c r="O170" s="4" t="s">
        <v>51</v>
      </c>
    </row>
    <row r="171" spans="1:15" s="1" customFormat="1">
      <c r="A171" s="3">
        <v>46012.059918981482</v>
      </c>
      <c r="B171" s="3">
        <v>46012.059918981482</v>
      </c>
      <c r="C171" s="4" t="s">
        <v>223</v>
      </c>
      <c r="D171" s="4">
        <v>13703465</v>
      </c>
      <c r="E171" s="4" t="s">
        <v>15</v>
      </c>
      <c r="F171" s="4">
        <v>648</v>
      </c>
      <c r="G171" s="4">
        <v>648</v>
      </c>
      <c r="H171" s="4">
        <v>0</v>
      </c>
      <c r="I171" s="4">
        <v>0</v>
      </c>
      <c r="J171" s="4">
        <v>648</v>
      </c>
      <c r="K171" s="4">
        <v>0</v>
      </c>
      <c r="L171" s="4">
        <v>648</v>
      </c>
      <c r="M171" s="5">
        <v>648</v>
      </c>
      <c r="N171" s="4">
        <v>0</v>
      </c>
      <c r="O171" s="4" t="s">
        <v>51</v>
      </c>
    </row>
    <row r="172" spans="1:15" s="1" customFormat="1">
      <c r="A172" s="3">
        <v>46012.239814814813</v>
      </c>
      <c r="B172" s="3">
        <v>46012.239814814813</v>
      </c>
      <c r="C172" s="4" t="s">
        <v>224</v>
      </c>
      <c r="D172" s="4">
        <v>18130738</v>
      </c>
      <c r="E172" s="4" t="s">
        <v>15</v>
      </c>
      <c r="F172" s="4">
        <v>648</v>
      </c>
      <c r="G172" s="4">
        <v>648</v>
      </c>
      <c r="H172" s="4">
        <v>0</v>
      </c>
      <c r="I172" s="4">
        <v>0</v>
      </c>
      <c r="J172" s="4">
        <v>648</v>
      </c>
      <c r="K172" s="4">
        <v>0</v>
      </c>
      <c r="L172" s="4">
        <v>648</v>
      </c>
      <c r="M172" s="5">
        <v>648</v>
      </c>
      <c r="N172" s="4">
        <v>0</v>
      </c>
      <c r="O172" s="4" t="s">
        <v>51</v>
      </c>
    </row>
    <row r="173" spans="1:15" s="1" customFormat="1">
      <c r="A173" s="3">
        <v>46012.438379629632</v>
      </c>
      <c r="B173" s="3">
        <v>46012.438379629632</v>
      </c>
      <c r="C173" s="4" t="s">
        <v>225</v>
      </c>
      <c r="D173" s="4">
        <v>15998521</v>
      </c>
      <c r="E173" s="4" t="s">
        <v>15</v>
      </c>
      <c r="F173" s="4">
        <v>648</v>
      </c>
      <c r="G173" s="4">
        <v>648</v>
      </c>
      <c r="H173" s="4">
        <v>0</v>
      </c>
      <c r="I173" s="4">
        <v>0</v>
      </c>
      <c r="J173" s="4">
        <v>648</v>
      </c>
      <c r="K173" s="4">
        <v>0</v>
      </c>
      <c r="L173" s="4">
        <v>648</v>
      </c>
      <c r="M173" s="5">
        <v>648</v>
      </c>
      <c r="N173" s="4">
        <v>0</v>
      </c>
      <c r="O173" s="4" t="s">
        <v>51</v>
      </c>
    </row>
    <row r="174" spans="1:15" s="1" customFormat="1">
      <c r="A174" s="3">
        <v>46012.451643518521</v>
      </c>
      <c r="B174" s="3">
        <v>46012.451643518521</v>
      </c>
      <c r="C174" s="4" t="s">
        <v>226</v>
      </c>
      <c r="D174" s="4">
        <v>20343108</v>
      </c>
      <c r="E174" s="4" t="s">
        <v>15</v>
      </c>
      <c r="F174" s="4">
        <v>648</v>
      </c>
      <c r="G174" s="4">
        <v>648</v>
      </c>
      <c r="H174" s="4">
        <v>0</v>
      </c>
      <c r="I174" s="4">
        <v>0</v>
      </c>
      <c r="J174" s="4">
        <v>648</v>
      </c>
      <c r="K174" s="4">
        <v>0</v>
      </c>
      <c r="L174" s="4">
        <v>648</v>
      </c>
      <c r="M174" s="5">
        <v>648</v>
      </c>
      <c r="N174" s="4">
        <v>0</v>
      </c>
      <c r="O174" s="4" t="s">
        <v>51</v>
      </c>
    </row>
    <row r="175" spans="1:15" s="1" customFormat="1">
      <c r="A175" s="3">
        <v>46012.478981481479</v>
      </c>
      <c r="B175" s="3">
        <v>46012.478981481479</v>
      </c>
      <c r="C175" s="4" t="s">
        <v>227</v>
      </c>
      <c r="D175" s="4">
        <v>13736331</v>
      </c>
      <c r="E175" s="4" t="s">
        <v>15</v>
      </c>
      <c r="F175" s="4">
        <v>648</v>
      </c>
      <c r="G175" s="4">
        <v>648</v>
      </c>
      <c r="H175" s="4">
        <v>0</v>
      </c>
      <c r="I175" s="4">
        <v>0</v>
      </c>
      <c r="J175" s="4">
        <v>648</v>
      </c>
      <c r="K175" s="4">
        <v>0</v>
      </c>
      <c r="L175" s="4">
        <v>648</v>
      </c>
      <c r="M175" s="5">
        <v>648</v>
      </c>
      <c r="N175" s="4">
        <v>0</v>
      </c>
      <c r="O175" s="4" t="s">
        <v>51</v>
      </c>
    </row>
    <row r="176" spans="1:15" s="1" customFormat="1">
      <c r="A176" s="3">
        <v>46012.579756944448</v>
      </c>
      <c r="B176" s="3">
        <v>46012.579756944448</v>
      </c>
      <c r="C176" s="4" t="s">
        <v>228</v>
      </c>
      <c r="D176" s="4">
        <v>20342427</v>
      </c>
      <c r="E176" s="4" t="s">
        <v>15</v>
      </c>
      <c r="F176" s="4">
        <v>648</v>
      </c>
      <c r="G176" s="4">
        <v>648</v>
      </c>
      <c r="H176" s="4">
        <v>0</v>
      </c>
      <c r="I176" s="4">
        <v>0</v>
      </c>
      <c r="J176" s="4">
        <v>648</v>
      </c>
      <c r="K176" s="4">
        <v>0</v>
      </c>
      <c r="L176" s="4">
        <v>648</v>
      </c>
      <c r="M176" s="5">
        <v>648</v>
      </c>
      <c r="N176" s="4">
        <v>0</v>
      </c>
      <c r="O176" s="4" t="s">
        <v>51</v>
      </c>
    </row>
    <row r="177" spans="1:15" s="1" customFormat="1">
      <c r="A177" s="3">
        <v>46012.632152777776</v>
      </c>
      <c r="B177" s="3">
        <v>46012.632152777776</v>
      </c>
      <c r="C177" s="4" t="s">
        <v>229</v>
      </c>
      <c r="D177" s="4">
        <v>20343282</v>
      </c>
      <c r="E177" s="4" t="s">
        <v>15</v>
      </c>
      <c r="F177" s="4">
        <v>648</v>
      </c>
      <c r="G177" s="4">
        <v>648</v>
      </c>
      <c r="H177" s="4">
        <v>0</v>
      </c>
      <c r="I177" s="4">
        <v>0</v>
      </c>
      <c r="J177" s="4">
        <v>648</v>
      </c>
      <c r="K177" s="4">
        <v>0</v>
      </c>
      <c r="L177" s="4">
        <v>648</v>
      </c>
      <c r="M177" s="5">
        <v>648</v>
      </c>
      <c r="N177" s="4">
        <v>0</v>
      </c>
      <c r="O177" s="4" t="s">
        <v>51</v>
      </c>
    </row>
    <row r="178" spans="1:15" s="1" customFormat="1">
      <c r="A178" s="3">
        <v>46012.686041666668</v>
      </c>
      <c r="B178" s="3">
        <v>46012.686041666668</v>
      </c>
      <c r="C178" s="4" t="s">
        <v>230</v>
      </c>
      <c r="D178" s="4">
        <v>15654696</v>
      </c>
      <c r="E178" s="4" t="s">
        <v>15</v>
      </c>
      <c r="F178" s="4">
        <v>648</v>
      </c>
      <c r="G178" s="4">
        <v>648</v>
      </c>
      <c r="H178" s="4">
        <v>0</v>
      </c>
      <c r="I178" s="4">
        <v>0</v>
      </c>
      <c r="J178" s="4">
        <v>648</v>
      </c>
      <c r="K178" s="4">
        <v>0</v>
      </c>
      <c r="L178" s="4">
        <v>648</v>
      </c>
      <c r="M178" s="5">
        <v>648</v>
      </c>
      <c r="N178" s="4">
        <v>0</v>
      </c>
      <c r="O178" s="4" t="s">
        <v>51</v>
      </c>
    </row>
    <row r="179" spans="1:15" s="1" customFormat="1">
      <c r="A179" s="3">
        <v>46012.716666666667</v>
      </c>
      <c r="B179" s="3">
        <v>46012.716666666667</v>
      </c>
      <c r="C179" s="4" t="s">
        <v>231</v>
      </c>
      <c r="D179" s="4">
        <v>14558846</v>
      </c>
      <c r="E179" s="4" t="s">
        <v>15</v>
      </c>
      <c r="F179" s="4">
        <v>648</v>
      </c>
      <c r="G179" s="4">
        <v>648</v>
      </c>
      <c r="H179" s="4">
        <v>0</v>
      </c>
      <c r="I179" s="4">
        <v>0</v>
      </c>
      <c r="J179" s="4">
        <v>648</v>
      </c>
      <c r="K179" s="4">
        <v>0</v>
      </c>
      <c r="L179" s="4">
        <v>648</v>
      </c>
      <c r="M179" s="5">
        <v>648</v>
      </c>
      <c r="N179" s="4">
        <v>0</v>
      </c>
      <c r="O179" s="4" t="s">
        <v>51</v>
      </c>
    </row>
    <row r="180" spans="1:15" s="1" customFormat="1">
      <c r="A180" s="3">
        <v>46012.92596064815</v>
      </c>
      <c r="B180" s="3">
        <v>46012.92596064815</v>
      </c>
      <c r="C180" s="4" t="s">
        <v>232</v>
      </c>
      <c r="D180" s="4">
        <v>12973985</v>
      </c>
      <c r="E180" s="4" t="s">
        <v>15</v>
      </c>
      <c r="F180" s="4">
        <v>648</v>
      </c>
      <c r="G180" s="4">
        <v>648</v>
      </c>
      <c r="H180" s="4">
        <v>0</v>
      </c>
      <c r="I180" s="4">
        <v>0</v>
      </c>
      <c r="J180" s="4">
        <v>648</v>
      </c>
      <c r="K180" s="4">
        <v>0</v>
      </c>
      <c r="L180" s="4">
        <v>648</v>
      </c>
      <c r="M180" s="5">
        <v>648</v>
      </c>
      <c r="N180" s="4">
        <v>0</v>
      </c>
      <c r="O180" s="4" t="s">
        <v>51</v>
      </c>
    </row>
    <row r="181" spans="1:15" s="1" customFormat="1">
      <c r="A181" s="3">
        <v>46012.931550925925</v>
      </c>
      <c r="B181" s="3">
        <v>46012.931550925925</v>
      </c>
      <c r="C181" s="4" t="s">
        <v>233</v>
      </c>
      <c r="D181" s="4">
        <v>20344141</v>
      </c>
      <c r="E181" s="4" t="s">
        <v>15</v>
      </c>
      <c r="F181" s="4">
        <v>648</v>
      </c>
      <c r="G181" s="4">
        <v>648</v>
      </c>
      <c r="H181" s="4">
        <v>0</v>
      </c>
      <c r="I181" s="4">
        <v>0</v>
      </c>
      <c r="J181" s="4">
        <v>648</v>
      </c>
      <c r="K181" s="4">
        <v>0</v>
      </c>
      <c r="L181" s="4">
        <v>648</v>
      </c>
      <c r="M181" s="5">
        <v>648</v>
      </c>
      <c r="N181" s="4">
        <v>0</v>
      </c>
      <c r="O181" s="4" t="s">
        <v>51</v>
      </c>
    </row>
    <row r="182" spans="1:15" s="1" customFormat="1">
      <c r="A182" s="3">
        <v>46012.937974537039</v>
      </c>
      <c r="B182" s="3">
        <v>46012.937974537039</v>
      </c>
      <c r="C182" s="4" t="s">
        <v>234</v>
      </c>
      <c r="D182" s="4">
        <v>20344160</v>
      </c>
      <c r="E182" s="4" t="s">
        <v>15</v>
      </c>
      <c r="F182" s="4">
        <v>648</v>
      </c>
      <c r="G182" s="4">
        <v>648</v>
      </c>
      <c r="H182" s="4">
        <v>0</v>
      </c>
      <c r="I182" s="4">
        <v>0</v>
      </c>
      <c r="J182" s="4">
        <v>648</v>
      </c>
      <c r="K182" s="4">
        <v>0</v>
      </c>
      <c r="L182" s="4">
        <v>648</v>
      </c>
      <c r="M182" s="5">
        <v>648</v>
      </c>
      <c r="N182" s="4">
        <v>0</v>
      </c>
      <c r="O182" s="4" t="s">
        <v>51</v>
      </c>
    </row>
    <row r="183" spans="1:15" s="1" customFormat="1">
      <c r="A183" s="3">
        <v>46012.997847222221</v>
      </c>
      <c r="B183" s="3">
        <v>46012.997847222221</v>
      </c>
      <c r="C183" s="4" t="s">
        <v>235</v>
      </c>
      <c r="D183" s="4">
        <v>19100100</v>
      </c>
      <c r="E183" s="4" t="s">
        <v>15</v>
      </c>
      <c r="F183" s="4">
        <v>648</v>
      </c>
      <c r="G183" s="4">
        <v>648</v>
      </c>
      <c r="H183" s="4">
        <v>0</v>
      </c>
      <c r="I183" s="4">
        <v>0</v>
      </c>
      <c r="J183" s="4">
        <v>648</v>
      </c>
      <c r="K183" s="4">
        <v>0</v>
      </c>
      <c r="L183" s="4">
        <v>648</v>
      </c>
      <c r="M183" s="5">
        <v>648</v>
      </c>
      <c r="N183" s="4">
        <v>0</v>
      </c>
      <c r="O183" s="4" t="s">
        <v>51</v>
      </c>
    </row>
    <row r="184" spans="1:15" s="1" customFormat="1">
      <c r="A184" s="3">
        <v>46012.999837962961</v>
      </c>
      <c r="B184" s="3">
        <v>46012.999837962961</v>
      </c>
      <c r="C184" s="4" t="s">
        <v>236</v>
      </c>
      <c r="D184" s="4">
        <v>17605249</v>
      </c>
      <c r="E184" s="4" t="s">
        <v>15</v>
      </c>
      <c r="F184" s="4">
        <v>648</v>
      </c>
      <c r="G184" s="4">
        <v>648</v>
      </c>
      <c r="H184" s="4">
        <v>0</v>
      </c>
      <c r="I184" s="4">
        <v>0</v>
      </c>
      <c r="J184" s="4">
        <v>648</v>
      </c>
      <c r="K184" s="4">
        <v>0</v>
      </c>
      <c r="L184" s="4">
        <v>648</v>
      </c>
      <c r="M184" s="5">
        <v>648</v>
      </c>
      <c r="N184" s="4">
        <v>0</v>
      </c>
      <c r="O184" s="4" t="s">
        <v>51</v>
      </c>
    </row>
    <row r="185" spans="1:15" s="1" customFormat="1">
      <c r="A185" s="3">
        <v>46013.066180555557</v>
      </c>
      <c r="B185" s="3">
        <v>46013.066180555557</v>
      </c>
      <c r="C185" s="4" t="s">
        <v>237</v>
      </c>
      <c r="D185" s="4">
        <v>20329940</v>
      </c>
      <c r="E185" s="4" t="s">
        <v>15</v>
      </c>
      <c r="F185" s="4">
        <v>648</v>
      </c>
      <c r="G185" s="4">
        <v>648</v>
      </c>
      <c r="H185" s="4">
        <v>0</v>
      </c>
      <c r="I185" s="4">
        <v>0</v>
      </c>
      <c r="J185" s="4">
        <v>648</v>
      </c>
      <c r="K185" s="4">
        <v>0</v>
      </c>
      <c r="L185" s="4">
        <v>648</v>
      </c>
      <c r="M185" s="5">
        <v>648</v>
      </c>
      <c r="N185" s="4">
        <v>0</v>
      </c>
      <c r="O185" s="4" t="s">
        <v>51</v>
      </c>
    </row>
    <row r="186" spans="1:15" s="1" customFormat="1">
      <c r="A186" s="3">
        <v>46013.081747685188</v>
      </c>
      <c r="B186" s="3">
        <v>46013.081747685188</v>
      </c>
      <c r="C186" s="4" t="s">
        <v>238</v>
      </c>
      <c r="D186" s="4">
        <v>20344419</v>
      </c>
      <c r="E186" s="4" t="s">
        <v>15</v>
      </c>
      <c r="F186" s="4">
        <v>648</v>
      </c>
      <c r="G186" s="4">
        <v>648</v>
      </c>
      <c r="H186" s="4">
        <v>0</v>
      </c>
      <c r="I186" s="4">
        <v>0</v>
      </c>
      <c r="J186" s="4">
        <v>648</v>
      </c>
      <c r="K186" s="4">
        <v>0</v>
      </c>
      <c r="L186" s="4">
        <v>648</v>
      </c>
      <c r="M186" s="5">
        <v>648</v>
      </c>
      <c r="N186" s="4">
        <v>0</v>
      </c>
      <c r="O186" s="4" t="s">
        <v>51</v>
      </c>
    </row>
    <row r="187" spans="1:15" s="1" customFormat="1">
      <c r="A187" s="3">
        <v>46013.591516203705</v>
      </c>
      <c r="B187" s="3">
        <v>46013.591516203705</v>
      </c>
      <c r="C187" s="4" t="s">
        <v>239</v>
      </c>
      <c r="D187" s="4">
        <v>20344801</v>
      </c>
      <c r="E187" s="4" t="s">
        <v>15</v>
      </c>
      <c r="F187" s="4">
        <v>648</v>
      </c>
      <c r="G187" s="4">
        <v>648</v>
      </c>
      <c r="H187" s="4">
        <v>0</v>
      </c>
      <c r="I187" s="4">
        <v>0</v>
      </c>
      <c r="J187" s="4">
        <v>648</v>
      </c>
      <c r="K187" s="4">
        <v>0</v>
      </c>
      <c r="L187" s="4">
        <v>648</v>
      </c>
      <c r="M187" s="5">
        <v>648</v>
      </c>
      <c r="N187" s="4">
        <v>0</v>
      </c>
      <c r="O187" s="4" t="s">
        <v>51</v>
      </c>
    </row>
    <row r="188" spans="1:15" s="1" customFormat="1">
      <c r="A188" s="3">
        <v>46013.626712962963</v>
      </c>
      <c r="B188" s="3">
        <v>46013.626712962963</v>
      </c>
      <c r="C188" s="4" t="s">
        <v>240</v>
      </c>
      <c r="D188" s="4">
        <v>20344845</v>
      </c>
      <c r="E188" s="4" t="s">
        <v>15</v>
      </c>
      <c r="F188" s="4">
        <v>648</v>
      </c>
      <c r="G188" s="4">
        <v>648</v>
      </c>
      <c r="H188" s="4">
        <v>0</v>
      </c>
      <c r="I188" s="4">
        <v>0</v>
      </c>
      <c r="J188" s="4">
        <v>648</v>
      </c>
      <c r="K188" s="4">
        <v>0</v>
      </c>
      <c r="L188" s="4">
        <v>648</v>
      </c>
      <c r="M188" s="5">
        <v>648</v>
      </c>
      <c r="N188" s="4">
        <v>0</v>
      </c>
      <c r="O188" s="4" t="s">
        <v>51</v>
      </c>
    </row>
    <row r="189" spans="1:15" s="1" customFormat="1">
      <c r="A189" s="3">
        <v>46013.815162037034</v>
      </c>
      <c r="B189" s="3">
        <v>46013.815162037034</v>
      </c>
      <c r="C189" s="4" t="s">
        <v>241</v>
      </c>
      <c r="D189" s="4">
        <v>20344997</v>
      </c>
      <c r="E189" s="4" t="s">
        <v>15</v>
      </c>
      <c r="F189" s="4">
        <v>648</v>
      </c>
      <c r="G189" s="4">
        <v>648</v>
      </c>
      <c r="H189" s="4">
        <v>0</v>
      </c>
      <c r="I189" s="4">
        <v>0</v>
      </c>
      <c r="J189" s="4">
        <v>648</v>
      </c>
      <c r="K189" s="4">
        <v>0</v>
      </c>
      <c r="L189" s="4">
        <v>648</v>
      </c>
      <c r="M189" s="5">
        <v>648</v>
      </c>
      <c r="N189" s="4">
        <v>0</v>
      </c>
      <c r="O189" s="4" t="s">
        <v>51</v>
      </c>
    </row>
    <row r="190" spans="1:15" s="1" customFormat="1">
      <c r="A190" s="3">
        <v>46013.901516203703</v>
      </c>
      <c r="B190" s="3">
        <v>46013.901608796295</v>
      </c>
      <c r="C190" s="4" t="s">
        <v>242</v>
      </c>
      <c r="D190" s="4">
        <v>18697084</v>
      </c>
      <c r="E190" s="4" t="s">
        <v>15</v>
      </c>
      <c r="F190" s="4">
        <v>5000</v>
      </c>
      <c r="G190" s="4">
        <v>648</v>
      </c>
      <c r="H190" s="4">
        <v>0</v>
      </c>
      <c r="I190" s="4">
        <v>4330.24</v>
      </c>
      <c r="J190" s="4">
        <v>669.76</v>
      </c>
      <c r="K190" s="4">
        <v>0</v>
      </c>
      <c r="L190" s="4">
        <v>648</v>
      </c>
      <c r="M190" s="5">
        <v>648</v>
      </c>
      <c r="N190" s="4">
        <v>21.76</v>
      </c>
      <c r="O190" s="4" t="s">
        <v>51</v>
      </c>
    </row>
    <row r="191" spans="1:15" s="1" customFormat="1">
      <c r="A191" s="3">
        <v>46013.918611111112</v>
      </c>
      <c r="B191" s="3">
        <v>46013.918611111112</v>
      </c>
      <c r="C191" s="4" t="s">
        <v>243</v>
      </c>
      <c r="D191" s="4">
        <v>20344687</v>
      </c>
      <c r="E191" s="4" t="s">
        <v>15</v>
      </c>
      <c r="F191" s="4">
        <v>648</v>
      </c>
      <c r="G191" s="4">
        <v>648</v>
      </c>
      <c r="H191" s="4">
        <v>0</v>
      </c>
      <c r="I191" s="4">
        <v>0</v>
      </c>
      <c r="J191" s="4">
        <v>648</v>
      </c>
      <c r="K191" s="4">
        <v>0</v>
      </c>
      <c r="L191" s="4">
        <v>648</v>
      </c>
      <c r="M191" s="5">
        <v>648</v>
      </c>
      <c r="N191" s="4">
        <v>0</v>
      </c>
      <c r="O191" s="4" t="s">
        <v>51</v>
      </c>
    </row>
    <row r="192" spans="1:15" s="1" customFormat="1">
      <c r="A192" s="3">
        <v>46014.239988425928</v>
      </c>
      <c r="B192" s="3">
        <v>46014.239988425928</v>
      </c>
      <c r="C192" s="4" t="s">
        <v>244</v>
      </c>
      <c r="D192" s="4">
        <v>20345633</v>
      </c>
      <c r="E192" s="4" t="s">
        <v>15</v>
      </c>
      <c r="F192" s="4">
        <v>648</v>
      </c>
      <c r="G192" s="4">
        <v>648</v>
      </c>
      <c r="H192" s="4">
        <v>0</v>
      </c>
      <c r="I192" s="4">
        <v>0</v>
      </c>
      <c r="J192" s="4">
        <v>648</v>
      </c>
      <c r="K192" s="4">
        <v>0</v>
      </c>
      <c r="L192" s="4">
        <v>648</v>
      </c>
      <c r="M192" s="5">
        <v>648</v>
      </c>
      <c r="N192" s="4">
        <v>0</v>
      </c>
      <c r="O192" s="4" t="s">
        <v>51</v>
      </c>
    </row>
    <row r="193" spans="1:15" s="1" customFormat="1">
      <c r="A193" s="3">
        <v>46014.444988425923</v>
      </c>
      <c r="B193" s="3">
        <v>46014.444988425923</v>
      </c>
      <c r="C193" s="4" t="s">
        <v>245</v>
      </c>
      <c r="D193" s="4">
        <v>19542047</v>
      </c>
      <c r="E193" s="4" t="s">
        <v>15</v>
      </c>
      <c r="F193" s="4">
        <v>648</v>
      </c>
      <c r="G193" s="4">
        <v>648</v>
      </c>
      <c r="H193" s="4">
        <v>0</v>
      </c>
      <c r="I193" s="4">
        <v>0</v>
      </c>
      <c r="J193" s="4">
        <v>648</v>
      </c>
      <c r="K193" s="4">
        <v>0</v>
      </c>
      <c r="L193" s="4">
        <v>648</v>
      </c>
      <c r="M193" s="5">
        <v>648</v>
      </c>
      <c r="N193" s="4">
        <v>0</v>
      </c>
      <c r="O193" s="4" t="s">
        <v>51</v>
      </c>
    </row>
    <row r="194" spans="1:15" s="1" customFormat="1">
      <c r="A194" s="3">
        <v>46014.532210648147</v>
      </c>
      <c r="B194" s="3">
        <v>46014.532210648147</v>
      </c>
      <c r="C194" s="4" t="s">
        <v>246</v>
      </c>
      <c r="D194" s="4">
        <v>15281679</v>
      </c>
      <c r="E194" s="4" t="s">
        <v>15</v>
      </c>
      <c r="F194" s="4">
        <v>648</v>
      </c>
      <c r="G194" s="4">
        <v>648</v>
      </c>
      <c r="H194" s="4">
        <v>0</v>
      </c>
      <c r="I194" s="4">
        <v>0</v>
      </c>
      <c r="J194" s="4">
        <v>648</v>
      </c>
      <c r="K194" s="4">
        <v>0</v>
      </c>
      <c r="L194" s="4">
        <v>648</v>
      </c>
      <c r="M194" s="5">
        <v>648</v>
      </c>
      <c r="N194" s="4">
        <v>0</v>
      </c>
      <c r="O194" s="4" t="s">
        <v>51</v>
      </c>
    </row>
    <row r="195" spans="1:15" s="1" customFormat="1">
      <c r="A195" s="3">
        <v>46014.68378472222</v>
      </c>
      <c r="B195" s="3">
        <v>46014.68378472222</v>
      </c>
      <c r="C195" s="4" t="s">
        <v>247</v>
      </c>
      <c r="D195" s="4">
        <v>17289233</v>
      </c>
      <c r="E195" s="4" t="s">
        <v>15</v>
      </c>
      <c r="F195" s="4">
        <v>648</v>
      </c>
      <c r="G195" s="4">
        <v>648</v>
      </c>
      <c r="H195" s="4">
        <v>0</v>
      </c>
      <c r="I195" s="4">
        <v>0</v>
      </c>
      <c r="J195" s="4">
        <v>648</v>
      </c>
      <c r="K195" s="4">
        <v>0</v>
      </c>
      <c r="L195" s="4">
        <v>648</v>
      </c>
      <c r="M195" s="5">
        <v>648</v>
      </c>
      <c r="N195" s="4">
        <v>0</v>
      </c>
      <c r="O195" s="4" t="s">
        <v>51</v>
      </c>
    </row>
    <row r="196" spans="1:15" s="1" customFormat="1">
      <c r="A196" s="3">
        <v>46014.841840277775</v>
      </c>
      <c r="B196" s="3">
        <v>46014.841840277775</v>
      </c>
      <c r="C196" s="4" t="s">
        <v>248</v>
      </c>
      <c r="D196" s="4">
        <v>9884257</v>
      </c>
      <c r="E196" s="4" t="s">
        <v>15</v>
      </c>
      <c r="F196" s="4">
        <v>648</v>
      </c>
      <c r="G196" s="4">
        <v>648</v>
      </c>
      <c r="H196" s="4">
        <v>0</v>
      </c>
      <c r="I196" s="4">
        <v>0</v>
      </c>
      <c r="J196" s="4">
        <v>648</v>
      </c>
      <c r="K196" s="4">
        <v>0</v>
      </c>
      <c r="L196" s="4">
        <v>648</v>
      </c>
      <c r="M196" s="5">
        <v>648</v>
      </c>
      <c r="N196" s="4">
        <v>0</v>
      </c>
      <c r="O196" s="4" t="s">
        <v>51</v>
      </c>
    </row>
    <row r="197" spans="1:15" s="1" customFormat="1">
      <c r="A197" s="3">
        <v>46014.855567129627</v>
      </c>
      <c r="B197" s="3">
        <v>46014.855567129627</v>
      </c>
      <c r="C197" s="4" t="s">
        <v>249</v>
      </c>
      <c r="D197" s="4">
        <v>20344305</v>
      </c>
      <c r="E197" s="4" t="s">
        <v>15</v>
      </c>
      <c r="F197" s="4">
        <v>648</v>
      </c>
      <c r="G197" s="4">
        <v>648</v>
      </c>
      <c r="H197" s="4">
        <v>0</v>
      </c>
      <c r="I197" s="4">
        <v>0</v>
      </c>
      <c r="J197" s="4">
        <v>648</v>
      </c>
      <c r="K197" s="4">
        <v>0</v>
      </c>
      <c r="L197" s="4">
        <v>648</v>
      </c>
      <c r="M197" s="5">
        <v>648</v>
      </c>
      <c r="N197" s="4">
        <v>0</v>
      </c>
      <c r="O197" s="4" t="s">
        <v>51</v>
      </c>
    </row>
    <row r="198" spans="1:15" s="1" customFormat="1">
      <c r="A198" s="3">
        <v>46014.877511574072</v>
      </c>
      <c r="B198" s="3">
        <v>46014.877650462964</v>
      </c>
      <c r="C198" s="4" t="s">
        <v>250</v>
      </c>
      <c r="D198" s="4">
        <v>15759222</v>
      </c>
      <c r="E198" s="4" t="s">
        <v>16</v>
      </c>
      <c r="F198" s="4">
        <v>1000</v>
      </c>
      <c r="G198" s="4">
        <v>648</v>
      </c>
      <c r="H198" s="4">
        <v>0</v>
      </c>
      <c r="I198" s="4">
        <v>350.24</v>
      </c>
      <c r="J198" s="4">
        <v>649.76</v>
      </c>
      <c r="K198" s="4">
        <v>0</v>
      </c>
      <c r="L198" s="4">
        <v>648</v>
      </c>
      <c r="M198" s="5">
        <v>648</v>
      </c>
      <c r="N198" s="4">
        <v>1.76</v>
      </c>
      <c r="O198" s="4" t="s">
        <v>51</v>
      </c>
    </row>
    <row r="199" spans="1:15" s="1" customFormat="1">
      <c r="A199" s="3">
        <v>46014.914675925924</v>
      </c>
      <c r="B199" s="3">
        <v>46014.914675925924</v>
      </c>
      <c r="C199" s="4" t="s">
        <v>251</v>
      </c>
      <c r="D199" s="4">
        <v>20344691</v>
      </c>
      <c r="E199" s="4" t="s">
        <v>15</v>
      </c>
      <c r="F199" s="4">
        <v>648</v>
      </c>
      <c r="G199" s="4">
        <v>648</v>
      </c>
      <c r="H199" s="4">
        <v>0</v>
      </c>
      <c r="I199" s="4">
        <v>0</v>
      </c>
      <c r="J199" s="4">
        <v>648</v>
      </c>
      <c r="K199" s="4">
        <v>0</v>
      </c>
      <c r="L199" s="4">
        <v>648</v>
      </c>
      <c r="M199" s="5">
        <v>648</v>
      </c>
      <c r="N199" s="4">
        <v>0</v>
      </c>
      <c r="O199" s="4" t="s">
        <v>51</v>
      </c>
    </row>
    <row r="200" spans="1:15" s="1" customFormat="1">
      <c r="A200" s="3">
        <v>46014.975127314814</v>
      </c>
      <c r="B200" s="3">
        <v>46014.975416666668</v>
      </c>
      <c r="C200" s="4" t="s">
        <v>252</v>
      </c>
      <c r="D200" s="4">
        <v>20058973</v>
      </c>
      <c r="E200" s="4" t="s">
        <v>15</v>
      </c>
      <c r="F200" s="4">
        <v>30000</v>
      </c>
      <c r="G200" s="4">
        <v>648</v>
      </c>
      <c r="H200" s="4">
        <v>0</v>
      </c>
      <c r="I200" s="4">
        <v>29205.24</v>
      </c>
      <c r="J200" s="4">
        <v>794.76</v>
      </c>
      <c r="K200" s="4">
        <v>0</v>
      </c>
      <c r="L200" s="4">
        <v>648</v>
      </c>
      <c r="M200" s="5">
        <v>648</v>
      </c>
      <c r="N200" s="4">
        <v>146.76</v>
      </c>
      <c r="O200" s="4" t="s">
        <v>51</v>
      </c>
    </row>
    <row r="201" spans="1:15" s="1" customFormat="1">
      <c r="A201" s="3">
        <v>46015.017465277779</v>
      </c>
      <c r="B201" s="3">
        <v>46015.017465277779</v>
      </c>
      <c r="C201" s="4" t="s">
        <v>253</v>
      </c>
      <c r="D201" s="4">
        <v>20220133</v>
      </c>
      <c r="E201" s="4" t="s">
        <v>15</v>
      </c>
      <c r="F201" s="4">
        <v>648</v>
      </c>
      <c r="G201" s="4">
        <v>648</v>
      </c>
      <c r="H201" s="4">
        <v>0</v>
      </c>
      <c r="I201" s="4">
        <v>0</v>
      </c>
      <c r="J201" s="4">
        <v>648</v>
      </c>
      <c r="K201" s="4">
        <v>0</v>
      </c>
      <c r="L201" s="4">
        <v>648</v>
      </c>
      <c r="M201" s="5">
        <v>648</v>
      </c>
      <c r="N201" s="4">
        <v>0</v>
      </c>
      <c r="O201" s="4" t="s">
        <v>51</v>
      </c>
    </row>
    <row r="202" spans="1:15" s="1" customFormat="1">
      <c r="A202" s="3">
        <v>46015.038368055553</v>
      </c>
      <c r="B202" s="3">
        <v>46015.038495370369</v>
      </c>
      <c r="C202" s="4" t="s">
        <v>254</v>
      </c>
      <c r="D202" s="4">
        <v>18225910</v>
      </c>
      <c r="E202" s="4" t="s">
        <v>15</v>
      </c>
      <c r="F202" s="4">
        <v>1296</v>
      </c>
      <c r="G202" s="4">
        <v>648</v>
      </c>
      <c r="H202" s="4">
        <v>0</v>
      </c>
      <c r="I202" s="4">
        <v>644.76</v>
      </c>
      <c r="J202" s="4">
        <v>651.24</v>
      </c>
      <c r="K202" s="4">
        <v>0</v>
      </c>
      <c r="L202" s="4">
        <v>648</v>
      </c>
      <c r="M202" s="5">
        <v>648</v>
      </c>
      <c r="N202" s="4">
        <v>3.24</v>
      </c>
      <c r="O202" s="4" t="s">
        <v>51</v>
      </c>
    </row>
    <row r="203" spans="1:15" s="1" customFormat="1">
      <c r="A203" s="3">
        <v>46015.050625000003</v>
      </c>
      <c r="B203" s="3">
        <v>46015.050625000003</v>
      </c>
      <c r="C203" s="4" t="s">
        <v>255</v>
      </c>
      <c r="D203" s="4">
        <v>20346534</v>
      </c>
      <c r="E203" s="4" t="s">
        <v>15</v>
      </c>
      <c r="F203" s="4">
        <v>648</v>
      </c>
      <c r="G203" s="4">
        <v>648</v>
      </c>
      <c r="H203" s="4">
        <v>0</v>
      </c>
      <c r="I203" s="4">
        <v>0</v>
      </c>
      <c r="J203" s="4">
        <v>648</v>
      </c>
      <c r="K203" s="4">
        <v>0</v>
      </c>
      <c r="L203" s="4">
        <v>648</v>
      </c>
      <c r="M203" s="5">
        <v>648</v>
      </c>
      <c r="N203" s="4">
        <v>0</v>
      </c>
      <c r="O203" s="4" t="s">
        <v>51</v>
      </c>
    </row>
    <row r="204" spans="1:15" s="1" customFormat="1">
      <c r="A204" s="3">
        <v>46015.09175925926</v>
      </c>
      <c r="B204" s="3">
        <v>46015.09175925926</v>
      </c>
      <c r="C204" s="4" t="s">
        <v>256</v>
      </c>
      <c r="D204" s="4">
        <v>20301343</v>
      </c>
      <c r="E204" s="4" t="s">
        <v>15</v>
      </c>
      <c r="F204" s="4">
        <v>648</v>
      </c>
      <c r="G204" s="4">
        <v>648</v>
      </c>
      <c r="H204" s="4">
        <v>0</v>
      </c>
      <c r="I204" s="4">
        <v>0</v>
      </c>
      <c r="J204" s="4">
        <v>648</v>
      </c>
      <c r="K204" s="4">
        <v>0</v>
      </c>
      <c r="L204" s="4">
        <v>648</v>
      </c>
      <c r="M204" s="5">
        <v>648</v>
      </c>
      <c r="N204" s="4">
        <v>0</v>
      </c>
      <c r="O204" s="4" t="s">
        <v>51</v>
      </c>
    </row>
    <row r="205" spans="1:15" s="1" customFormat="1">
      <c r="A205" s="3">
        <v>46015.172754629632</v>
      </c>
      <c r="B205" s="3">
        <v>46015.172754629632</v>
      </c>
      <c r="C205" s="4" t="s">
        <v>257</v>
      </c>
      <c r="D205" s="4">
        <v>20346756</v>
      </c>
      <c r="E205" s="4" t="s">
        <v>15</v>
      </c>
      <c r="F205" s="4">
        <v>648</v>
      </c>
      <c r="G205" s="4">
        <v>648</v>
      </c>
      <c r="H205" s="4">
        <v>0</v>
      </c>
      <c r="I205" s="4">
        <v>0</v>
      </c>
      <c r="J205" s="4">
        <v>648</v>
      </c>
      <c r="K205" s="4">
        <v>0</v>
      </c>
      <c r="L205" s="4">
        <v>648</v>
      </c>
      <c r="M205" s="5">
        <v>648</v>
      </c>
      <c r="N205" s="4">
        <v>0</v>
      </c>
      <c r="O205" s="4" t="s">
        <v>51</v>
      </c>
    </row>
    <row r="206" spans="1:15" s="1" customFormat="1">
      <c r="A206" s="3">
        <v>46015.504432870373</v>
      </c>
      <c r="B206" s="3">
        <v>46015.504432870373</v>
      </c>
      <c r="C206" s="4" t="s">
        <v>258</v>
      </c>
      <c r="D206" s="4">
        <v>20346963</v>
      </c>
      <c r="E206" s="4" t="s">
        <v>15</v>
      </c>
      <c r="F206" s="4">
        <v>648</v>
      </c>
      <c r="G206" s="4">
        <v>648</v>
      </c>
      <c r="H206" s="4">
        <v>0</v>
      </c>
      <c r="I206" s="4">
        <v>0</v>
      </c>
      <c r="J206" s="4">
        <v>648</v>
      </c>
      <c r="K206" s="4">
        <v>0</v>
      </c>
      <c r="L206" s="4">
        <v>648</v>
      </c>
      <c r="M206" s="5">
        <v>648</v>
      </c>
      <c r="N206" s="4">
        <v>0</v>
      </c>
      <c r="O206" s="4" t="s">
        <v>51</v>
      </c>
    </row>
    <row r="207" spans="1:15" s="1" customFormat="1">
      <c r="A207" s="3">
        <v>46015.519953703704</v>
      </c>
      <c r="B207" s="3">
        <v>46015.519953703704</v>
      </c>
      <c r="C207" s="4" t="s">
        <v>259</v>
      </c>
      <c r="D207" s="4">
        <v>20246925</v>
      </c>
      <c r="E207" s="4" t="s">
        <v>15</v>
      </c>
      <c r="F207" s="4">
        <v>648</v>
      </c>
      <c r="G207" s="4">
        <v>648</v>
      </c>
      <c r="H207" s="4">
        <v>0</v>
      </c>
      <c r="I207" s="4">
        <v>0</v>
      </c>
      <c r="J207" s="4">
        <v>648</v>
      </c>
      <c r="K207" s="4">
        <v>0</v>
      </c>
      <c r="L207" s="4">
        <v>648</v>
      </c>
      <c r="M207" s="5">
        <v>648</v>
      </c>
      <c r="N207" s="4">
        <v>0</v>
      </c>
      <c r="O207" s="4" t="s">
        <v>51</v>
      </c>
    </row>
    <row r="208" spans="1:15" s="1" customFormat="1">
      <c r="A208" s="3">
        <v>46015.606956018521</v>
      </c>
      <c r="B208" s="3">
        <v>46015.606956018521</v>
      </c>
      <c r="C208" s="4" t="s">
        <v>260</v>
      </c>
      <c r="D208" s="4">
        <v>14626678</v>
      </c>
      <c r="E208" s="4" t="s">
        <v>15</v>
      </c>
      <c r="F208" s="4">
        <v>648</v>
      </c>
      <c r="G208" s="4">
        <v>648</v>
      </c>
      <c r="H208" s="4">
        <v>0</v>
      </c>
      <c r="I208" s="4">
        <v>0</v>
      </c>
      <c r="J208" s="4">
        <v>648</v>
      </c>
      <c r="K208" s="4">
        <v>0</v>
      </c>
      <c r="L208" s="4">
        <v>648</v>
      </c>
      <c r="M208" s="5">
        <v>648</v>
      </c>
      <c r="N208" s="4">
        <v>0</v>
      </c>
      <c r="O208" s="4" t="s">
        <v>51</v>
      </c>
    </row>
    <row r="209" spans="1:15" s="1" customFormat="1">
      <c r="A209" s="3">
        <v>46015.752604166664</v>
      </c>
      <c r="B209" s="3">
        <v>46015.752604166664</v>
      </c>
      <c r="C209" s="4" t="s">
        <v>261</v>
      </c>
      <c r="D209" s="4">
        <v>20347311</v>
      </c>
      <c r="E209" s="4" t="s">
        <v>15</v>
      </c>
      <c r="F209" s="4">
        <v>648</v>
      </c>
      <c r="G209" s="4">
        <v>648</v>
      </c>
      <c r="H209" s="4">
        <v>0</v>
      </c>
      <c r="I209" s="4">
        <v>0</v>
      </c>
      <c r="J209" s="4">
        <v>648</v>
      </c>
      <c r="K209" s="4">
        <v>0</v>
      </c>
      <c r="L209" s="4">
        <v>648</v>
      </c>
      <c r="M209" s="5">
        <v>648</v>
      </c>
      <c r="N209" s="4">
        <v>0</v>
      </c>
      <c r="O209" s="4" t="s">
        <v>51</v>
      </c>
    </row>
    <row r="210" spans="1:15" s="1" customFormat="1">
      <c r="A210" s="3">
        <v>46015.794166666667</v>
      </c>
      <c r="B210" s="3">
        <v>46015.794166666667</v>
      </c>
      <c r="C210" s="4" t="s">
        <v>262</v>
      </c>
      <c r="D210" s="4">
        <v>13960792</v>
      </c>
      <c r="E210" s="4" t="s">
        <v>15</v>
      </c>
      <c r="F210" s="4">
        <v>648</v>
      </c>
      <c r="G210" s="4">
        <v>648</v>
      </c>
      <c r="H210" s="4">
        <v>0</v>
      </c>
      <c r="I210" s="4">
        <v>0</v>
      </c>
      <c r="J210" s="4">
        <v>648</v>
      </c>
      <c r="K210" s="4">
        <v>0</v>
      </c>
      <c r="L210" s="4">
        <v>648</v>
      </c>
      <c r="M210" s="5">
        <v>648</v>
      </c>
      <c r="N210" s="4">
        <v>0</v>
      </c>
      <c r="O210" s="4" t="s">
        <v>51</v>
      </c>
    </row>
    <row r="211" spans="1:15" s="1" customFormat="1">
      <c r="A211" s="3">
        <v>46015.807719907411</v>
      </c>
      <c r="B211" s="3">
        <v>46015.807951388888</v>
      </c>
      <c r="C211" s="4" t="s">
        <v>263</v>
      </c>
      <c r="D211" s="4">
        <v>13339202</v>
      </c>
      <c r="E211" s="4" t="s">
        <v>15</v>
      </c>
      <c r="F211" s="4">
        <v>10000</v>
      </c>
      <c r="G211" s="4">
        <v>648</v>
      </c>
      <c r="H211" s="4">
        <v>0</v>
      </c>
      <c r="I211" s="4">
        <v>9305.24</v>
      </c>
      <c r="J211" s="4">
        <v>694.76</v>
      </c>
      <c r="K211" s="4">
        <v>0</v>
      </c>
      <c r="L211" s="4">
        <v>648</v>
      </c>
      <c r="M211" s="5">
        <v>648</v>
      </c>
      <c r="N211" s="4">
        <v>46.76</v>
      </c>
      <c r="O211" s="4" t="s">
        <v>51</v>
      </c>
    </row>
    <row r="212" spans="1:15" s="1" customFormat="1">
      <c r="A212" s="3">
        <v>46015.964062500003</v>
      </c>
      <c r="B212" s="3">
        <v>46015.964062500003</v>
      </c>
      <c r="C212" s="4" t="s">
        <v>264</v>
      </c>
      <c r="D212" s="4">
        <v>16866768</v>
      </c>
      <c r="E212" s="4" t="s">
        <v>15</v>
      </c>
      <c r="F212" s="4">
        <v>648</v>
      </c>
      <c r="G212" s="4">
        <v>648</v>
      </c>
      <c r="H212" s="4">
        <v>0</v>
      </c>
      <c r="I212" s="4">
        <v>0</v>
      </c>
      <c r="J212" s="4">
        <v>648</v>
      </c>
      <c r="K212" s="4">
        <v>0</v>
      </c>
      <c r="L212" s="4">
        <v>648</v>
      </c>
      <c r="M212" s="5">
        <v>648</v>
      </c>
      <c r="N212" s="4">
        <v>0</v>
      </c>
      <c r="O212" s="4" t="s">
        <v>51</v>
      </c>
    </row>
    <row r="213" spans="1:15" s="1" customFormat="1">
      <c r="A213" s="3">
        <v>46016.023553240739</v>
      </c>
      <c r="B213" s="3">
        <v>46016.023553240739</v>
      </c>
      <c r="C213" s="4" t="s">
        <v>265</v>
      </c>
      <c r="D213" s="4">
        <v>20344726</v>
      </c>
      <c r="E213" s="4" t="s">
        <v>15</v>
      </c>
      <c r="F213" s="4">
        <v>648</v>
      </c>
      <c r="G213" s="4">
        <v>648</v>
      </c>
      <c r="H213" s="4">
        <v>0</v>
      </c>
      <c r="I213" s="4">
        <v>0</v>
      </c>
      <c r="J213" s="4">
        <v>648</v>
      </c>
      <c r="K213" s="4">
        <v>0</v>
      </c>
      <c r="L213" s="4">
        <v>648</v>
      </c>
      <c r="M213" s="5">
        <v>648</v>
      </c>
      <c r="N213" s="4">
        <v>0</v>
      </c>
      <c r="O213" s="4" t="s">
        <v>51</v>
      </c>
    </row>
    <row r="214" spans="1:15" s="1" customFormat="1">
      <c r="A214" s="3">
        <v>46016.046122685184</v>
      </c>
      <c r="B214" s="3">
        <v>46016.046365740738</v>
      </c>
      <c r="C214" s="4" t="s">
        <v>266</v>
      </c>
      <c r="D214" s="4">
        <v>18232050</v>
      </c>
      <c r="E214" s="4" t="s">
        <v>15</v>
      </c>
      <c r="F214" s="4">
        <v>2000</v>
      </c>
      <c r="G214" s="4">
        <v>648</v>
      </c>
      <c r="H214" s="4">
        <v>0</v>
      </c>
      <c r="I214" s="4">
        <v>1345.24</v>
      </c>
      <c r="J214" s="4">
        <v>654.76</v>
      </c>
      <c r="K214" s="4">
        <v>0</v>
      </c>
      <c r="L214" s="4">
        <v>648</v>
      </c>
      <c r="M214" s="5">
        <v>648</v>
      </c>
      <c r="N214" s="4">
        <v>6.76</v>
      </c>
      <c r="O214" s="4" t="s">
        <v>51</v>
      </c>
    </row>
    <row r="215" spans="1:15" s="1" customFormat="1">
      <c r="A215" s="3">
        <v>46016.092546296299</v>
      </c>
      <c r="B215" s="3">
        <v>46016.092546296299</v>
      </c>
      <c r="C215" s="4" t="s">
        <v>267</v>
      </c>
      <c r="D215" s="4">
        <v>20347835</v>
      </c>
      <c r="E215" s="4" t="s">
        <v>15</v>
      </c>
      <c r="F215" s="4">
        <v>648</v>
      </c>
      <c r="G215" s="4">
        <v>648</v>
      </c>
      <c r="H215" s="4">
        <v>0</v>
      </c>
      <c r="I215" s="4">
        <v>0</v>
      </c>
      <c r="J215" s="4">
        <v>648</v>
      </c>
      <c r="K215" s="4">
        <v>0</v>
      </c>
      <c r="L215" s="4">
        <v>648</v>
      </c>
      <c r="M215" s="5">
        <v>648</v>
      </c>
      <c r="N215" s="4">
        <v>0</v>
      </c>
      <c r="O215" s="4" t="s">
        <v>51</v>
      </c>
    </row>
    <row r="216" spans="1:15" s="1" customFormat="1">
      <c r="A216" s="3">
        <v>46016.222407407404</v>
      </c>
      <c r="B216" s="3">
        <v>46016.222407407404</v>
      </c>
      <c r="C216" s="4" t="s">
        <v>268</v>
      </c>
      <c r="D216" s="4">
        <v>20335824</v>
      </c>
      <c r="E216" s="4" t="s">
        <v>15</v>
      </c>
      <c r="F216" s="4">
        <v>648</v>
      </c>
      <c r="G216" s="4">
        <v>648</v>
      </c>
      <c r="H216" s="4">
        <v>0</v>
      </c>
      <c r="I216" s="4">
        <v>0</v>
      </c>
      <c r="J216" s="4">
        <v>648</v>
      </c>
      <c r="K216" s="4">
        <v>0</v>
      </c>
      <c r="L216" s="4">
        <v>648</v>
      </c>
      <c r="M216" s="5">
        <v>648</v>
      </c>
      <c r="N216" s="4">
        <v>0</v>
      </c>
      <c r="O216" s="4" t="s">
        <v>51</v>
      </c>
    </row>
    <row r="217" spans="1:15" s="1" customFormat="1">
      <c r="A217" s="3">
        <v>46016.253449074073</v>
      </c>
      <c r="B217" s="3">
        <v>46016.253449074073</v>
      </c>
      <c r="C217" s="4" t="s">
        <v>269</v>
      </c>
      <c r="D217" s="4">
        <v>20347940</v>
      </c>
      <c r="E217" s="4" t="s">
        <v>15</v>
      </c>
      <c r="F217" s="4">
        <v>648</v>
      </c>
      <c r="G217" s="4">
        <v>648</v>
      </c>
      <c r="H217" s="4">
        <v>0</v>
      </c>
      <c r="I217" s="4">
        <v>0</v>
      </c>
      <c r="J217" s="4">
        <v>648</v>
      </c>
      <c r="K217" s="4">
        <v>0</v>
      </c>
      <c r="L217" s="4">
        <v>648</v>
      </c>
      <c r="M217" s="5">
        <v>648</v>
      </c>
      <c r="N217" s="4">
        <v>0</v>
      </c>
      <c r="O217" s="4" t="s">
        <v>51</v>
      </c>
    </row>
    <row r="218" spans="1:15" s="1" customFormat="1">
      <c r="A218" s="3">
        <v>46016.307881944442</v>
      </c>
      <c r="B218" s="3">
        <v>46016.308009259257</v>
      </c>
      <c r="C218" s="4" t="s">
        <v>270</v>
      </c>
      <c r="D218" s="4">
        <v>20347952</v>
      </c>
      <c r="E218" s="4" t="s">
        <v>15</v>
      </c>
      <c r="F218" s="4">
        <v>1296</v>
      </c>
      <c r="G218" s="4">
        <v>648</v>
      </c>
      <c r="H218" s="4">
        <v>0</v>
      </c>
      <c r="I218" s="4">
        <v>644.76</v>
      </c>
      <c r="J218" s="4">
        <v>651.24</v>
      </c>
      <c r="K218" s="4">
        <v>0</v>
      </c>
      <c r="L218" s="4">
        <v>648</v>
      </c>
      <c r="M218" s="5">
        <v>648</v>
      </c>
      <c r="N218" s="4">
        <v>3.24</v>
      </c>
      <c r="O218" s="4" t="s">
        <v>51</v>
      </c>
    </row>
    <row r="219" spans="1:15" s="1" customFormat="1">
      <c r="A219" s="3">
        <v>46016.365972222222</v>
      </c>
      <c r="B219" s="3">
        <v>46016.365972222222</v>
      </c>
      <c r="C219" s="4" t="s">
        <v>271</v>
      </c>
      <c r="D219" s="4">
        <v>14246621</v>
      </c>
      <c r="E219" s="4" t="s">
        <v>15</v>
      </c>
      <c r="F219" s="4">
        <v>648</v>
      </c>
      <c r="G219" s="4">
        <v>648</v>
      </c>
      <c r="H219" s="4">
        <v>0</v>
      </c>
      <c r="I219" s="4">
        <v>0</v>
      </c>
      <c r="J219" s="4">
        <v>648</v>
      </c>
      <c r="K219" s="4">
        <v>0</v>
      </c>
      <c r="L219" s="4">
        <v>648</v>
      </c>
      <c r="M219" s="5">
        <v>648</v>
      </c>
      <c r="N219" s="4">
        <v>0</v>
      </c>
      <c r="O219" s="4" t="s">
        <v>51</v>
      </c>
    </row>
    <row r="220" spans="1:15" s="1" customFormat="1">
      <c r="A220" s="3">
        <v>46016.49077546296</v>
      </c>
      <c r="B220" s="3">
        <v>46016.49077546296</v>
      </c>
      <c r="C220" s="4" t="s">
        <v>272</v>
      </c>
      <c r="D220" s="4">
        <v>18554511</v>
      </c>
      <c r="E220" s="4" t="s">
        <v>15</v>
      </c>
      <c r="F220" s="4">
        <v>648</v>
      </c>
      <c r="G220" s="4">
        <v>648</v>
      </c>
      <c r="H220" s="4">
        <v>0</v>
      </c>
      <c r="I220" s="4">
        <v>0</v>
      </c>
      <c r="J220" s="4">
        <v>648</v>
      </c>
      <c r="K220" s="4">
        <v>0</v>
      </c>
      <c r="L220" s="4">
        <v>648</v>
      </c>
      <c r="M220" s="5">
        <v>648</v>
      </c>
      <c r="N220" s="4">
        <v>0</v>
      </c>
      <c r="O220" s="4" t="s">
        <v>51</v>
      </c>
    </row>
    <row r="221" spans="1:15" s="1" customFormat="1">
      <c r="A221" s="3">
        <v>46016.606354166666</v>
      </c>
      <c r="B221" s="3">
        <v>46016.606354166666</v>
      </c>
      <c r="C221" s="4" t="s">
        <v>273</v>
      </c>
      <c r="D221" s="4">
        <v>20183871</v>
      </c>
      <c r="E221" s="4" t="s">
        <v>15</v>
      </c>
      <c r="F221" s="4">
        <v>648</v>
      </c>
      <c r="G221" s="4">
        <v>648</v>
      </c>
      <c r="H221" s="4">
        <v>0</v>
      </c>
      <c r="I221" s="4">
        <v>0</v>
      </c>
      <c r="J221" s="4">
        <v>648</v>
      </c>
      <c r="K221" s="4">
        <v>0</v>
      </c>
      <c r="L221" s="4">
        <v>648</v>
      </c>
      <c r="M221" s="5">
        <v>648</v>
      </c>
      <c r="N221" s="4">
        <v>0</v>
      </c>
      <c r="O221" s="4" t="s">
        <v>51</v>
      </c>
    </row>
    <row r="222" spans="1:15" s="1" customFormat="1">
      <c r="A222" s="3">
        <v>46016.65828703704</v>
      </c>
      <c r="B222" s="3">
        <v>46016.65828703704</v>
      </c>
      <c r="C222" s="4" t="s">
        <v>274</v>
      </c>
      <c r="D222" s="4">
        <v>20348285</v>
      </c>
      <c r="E222" s="4" t="s">
        <v>15</v>
      </c>
      <c r="F222" s="4">
        <v>648</v>
      </c>
      <c r="G222" s="4">
        <v>648</v>
      </c>
      <c r="H222" s="4">
        <v>0</v>
      </c>
      <c r="I222" s="4">
        <v>0</v>
      </c>
      <c r="J222" s="4">
        <v>648</v>
      </c>
      <c r="K222" s="4">
        <v>0</v>
      </c>
      <c r="L222" s="4">
        <v>648</v>
      </c>
      <c r="M222" s="5">
        <v>648</v>
      </c>
      <c r="N222" s="4">
        <v>0</v>
      </c>
      <c r="O222" s="4" t="s">
        <v>51</v>
      </c>
    </row>
    <row r="223" spans="1:15" s="1" customFormat="1">
      <c r="A223" s="3">
        <v>46016.912928240738</v>
      </c>
      <c r="B223" s="3">
        <v>46016.912928240738</v>
      </c>
      <c r="C223" s="4" t="s">
        <v>275</v>
      </c>
      <c r="D223" s="4">
        <v>20348405</v>
      </c>
      <c r="E223" s="4" t="s">
        <v>15</v>
      </c>
      <c r="F223" s="4">
        <v>648</v>
      </c>
      <c r="G223" s="4">
        <v>648</v>
      </c>
      <c r="H223" s="4">
        <v>0</v>
      </c>
      <c r="I223" s="4">
        <v>0</v>
      </c>
      <c r="J223" s="4">
        <v>648</v>
      </c>
      <c r="K223" s="4">
        <v>0</v>
      </c>
      <c r="L223" s="4">
        <v>648</v>
      </c>
      <c r="M223" s="5">
        <v>648</v>
      </c>
      <c r="N223" s="4">
        <v>0</v>
      </c>
      <c r="O223" s="4" t="s">
        <v>51</v>
      </c>
    </row>
    <row r="224" spans="1:15" s="1" customFormat="1">
      <c r="A224" s="3">
        <v>46016.969837962963</v>
      </c>
      <c r="B224" s="3">
        <v>46016.969837962963</v>
      </c>
      <c r="C224" s="4" t="s">
        <v>276</v>
      </c>
      <c r="D224" s="4">
        <v>20348714</v>
      </c>
      <c r="E224" s="4" t="s">
        <v>15</v>
      </c>
      <c r="F224" s="4">
        <v>648</v>
      </c>
      <c r="G224" s="4">
        <v>648</v>
      </c>
      <c r="H224" s="4">
        <v>0</v>
      </c>
      <c r="I224" s="4">
        <v>0</v>
      </c>
      <c r="J224" s="4">
        <v>648</v>
      </c>
      <c r="K224" s="4">
        <v>0</v>
      </c>
      <c r="L224" s="4">
        <v>648</v>
      </c>
      <c r="M224" s="5">
        <v>648</v>
      </c>
      <c r="N224" s="4">
        <v>0</v>
      </c>
      <c r="O224" s="4" t="s">
        <v>51</v>
      </c>
    </row>
    <row r="225" spans="1:15" s="1" customFormat="1">
      <c r="A225" s="3">
        <v>46017.069918981484</v>
      </c>
      <c r="B225" s="3">
        <v>46017.069918981484</v>
      </c>
      <c r="C225" s="4" t="s">
        <v>277</v>
      </c>
      <c r="D225" s="4">
        <v>19480415</v>
      </c>
      <c r="E225" s="4" t="s">
        <v>15</v>
      </c>
      <c r="F225" s="4">
        <v>648</v>
      </c>
      <c r="G225" s="4">
        <v>648</v>
      </c>
      <c r="H225" s="4">
        <v>0</v>
      </c>
      <c r="I225" s="4">
        <v>0</v>
      </c>
      <c r="J225" s="4">
        <v>648</v>
      </c>
      <c r="K225" s="4">
        <v>0</v>
      </c>
      <c r="L225" s="4">
        <v>648</v>
      </c>
      <c r="M225" s="5">
        <v>648</v>
      </c>
      <c r="N225" s="4">
        <v>0</v>
      </c>
      <c r="O225" s="4" t="s">
        <v>51</v>
      </c>
    </row>
    <row r="226" spans="1:15" s="1" customFormat="1">
      <c r="A226" s="3">
        <v>46017.097199074073</v>
      </c>
      <c r="B226" s="3">
        <v>46017.097199074073</v>
      </c>
      <c r="C226" s="4" t="s">
        <v>278</v>
      </c>
      <c r="D226" s="4">
        <v>17216601</v>
      </c>
      <c r="E226" s="4" t="s">
        <v>15</v>
      </c>
      <c r="F226" s="4">
        <v>648</v>
      </c>
      <c r="G226" s="4">
        <v>648</v>
      </c>
      <c r="H226" s="4">
        <v>0</v>
      </c>
      <c r="I226" s="4">
        <v>0</v>
      </c>
      <c r="J226" s="4">
        <v>648</v>
      </c>
      <c r="K226" s="4">
        <v>0</v>
      </c>
      <c r="L226" s="4">
        <v>648</v>
      </c>
      <c r="M226" s="5">
        <v>648</v>
      </c>
      <c r="N226" s="4">
        <v>0</v>
      </c>
      <c r="O226" s="4" t="s">
        <v>51</v>
      </c>
    </row>
    <row r="227" spans="1:15" s="1" customFormat="1">
      <c r="A227" s="3">
        <v>46017.103564814817</v>
      </c>
      <c r="B227" s="3">
        <v>46017.103564814817</v>
      </c>
      <c r="C227" s="4" t="s">
        <v>279</v>
      </c>
      <c r="D227" s="4">
        <v>20332685</v>
      </c>
      <c r="E227" s="4" t="s">
        <v>15</v>
      </c>
      <c r="F227" s="4">
        <v>648</v>
      </c>
      <c r="G227" s="4">
        <v>648</v>
      </c>
      <c r="H227" s="4">
        <v>0</v>
      </c>
      <c r="I227" s="4">
        <v>0</v>
      </c>
      <c r="J227" s="4">
        <v>648</v>
      </c>
      <c r="K227" s="4">
        <v>0</v>
      </c>
      <c r="L227" s="4">
        <v>648</v>
      </c>
      <c r="M227" s="5">
        <v>648</v>
      </c>
      <c r="N227" s="4">
        <v>0</v>
      </c>
      <c r="O227" s="4" t="s">
        <v>51</v>
      </c>
    </row>
    <row r="228" spans="1:15" s="1" customFormat="1">
      <c r="A228" s="3">
        <v>46017.123032407406</v>
      </c>
      <c r="B228" s="3">
        <v>46017.123032407406</v>
      </c>
      <c r="C228" s="4" t="s">
        <v>280</v>
      </c>
      <c r="D228" s="4">
        <v>20348474</v>
      </c>
      <c r="E228" s="4" t="s">
        <v>15</v>
      </c>
      <c r="F228" s="4">
        <v>648</v>
      </c>
      <c r="G228" s="4">
        <v>648</v>
      </c>
      <c r="H228" s="4">
        <v>0</v>
      </c>
      <c r="I228" s="4">
        <v>0</v>
      </c>
      <c r="J228" s="4">
        <v>648</v>
      </c>
      <c r="K228" s="4">
        <v>0</v>
      </c>
      <c r="L228" s="4">
        <v>648</v>
      </c>
      <c r="M228" s="5">
        <v>648</v>
      </c>
      <c r="N228" s="4">
        <v>0</v>
      </c>
      <c r="O228" s="4" t="s">
        <v>51</v>
      </c>
    </row>
    <row r="229" spans="1:15" s="1" customFormat="1">
      <c r="A229" s="3">
        <v>46017.409918981481</v>
      </c>
      <c r="B229" s="3">
        <v>46017.409918981481</v>
      </c>
      <c r="C229" s="4" t="s">
        <v>281</v>
      </c>
      <c r="D229" s="4">
        <v>15927416</v>
      </c>
      <c r="E229" s="4" t="s">
        <v>15</v>
      </c>
      <c r="F229" s="4">
        <v>648</v>
      </c>
      <c r="G229" s="4">
        <v>648</v>
      </c>
      <c r="H229" s="4">
        <v>0</v>
      </c>
      <c r="I229" s="4">
        <v>0</v>
      </c>
      <c r="J229" s="4">
        <v>648</v>
      </c>
      <c r="K229" s="4">
        <v>0</v>
      </c>
      <c r="L229" s="4">
        <v>648</v>
      </c>
      <c r="M229" s="5">
        <v>648</v>
      </c>
      <c r="N229" s="4">
        <v>0</v>
      </c>
      <c r="O229" s="4" t="s">
        <v>51</v>
      </c>
    </row>
    <row r="230" spans="1:15" s="1" customFormat="1">
      <c r="A230" s="3">
        <v>46017.478541666664</v>
      </c>
      <c r="B230" s="3">
        <v>46017.478541666664</v>
      </c>
      <c r="C230" s="4" t="s">
        <v>282</v>
      </c>
      <c r="D230" s="4">
        <v>20349144</v>
      </c>
      <c r="E230" s="4" t="s">
        <v>15</v>
      </c>
      <c r="F230" s="4">
        <v>648</v>
      </c>
      <c r="G230" s="4">
        <v>648</v>
      </c>
      <c r="H230" s="4">
        <v>0</v>
      </c>
      <c r="I230" s="4">
        <v>0</v>
      </c>
      <c r="J230" s="4">
        <v>648</v>
      </c>
      <c r="K230" s="4">
        <v>0</v>
      </c>
      <c r="L230" s="4">
        <v>648</v>
      </c>
      <c r="M230" s="5">
        <v>648</v>
      </c>
      <c r="N230" s="4">
        <v>0</v>
      </c>
      <c r="O230" s="4" t="s">
        <v>51</v>
      </c>
    </row>
    <row r="231" spans="1:15" s="1" customFormat="1">
      <c r="A231" s="3">
        <v>46017.528101851851</v>
      </c>
      <c r="B231" s="3">
        <v>46017.528101851851</v>
      </c>
      <c r="C231" s="4" t="s">
        <v>283</v>
      </c>
      <c r="D231" s="4">
        <v>20349201</v>
      </c>
      <c r="E231" s="4" t="s">
        <v>15</v>
      </c>
      <c r="F231" s="4">
        <v>648</v>
      </c>
      <c r="G231" s="4">
        <v>648</v>
      </c>
      <c r="H231" s="4">
        <v>0</v>
      </c>
      <c r="I231" s="4">
        <v>0</v>
      </c>
      <c r="J231" s="4">
        <v>648</v>
      </c>
      <c r="K231" s="4">
        <v>0</v>
      </c>
      <c r="L231" s="4">
        <v>648</v>
      </c>
      <c r="M231" s="5">
        <v>648</v>
      </c>
      <c r="N231" s="4">
        <v>0</v>
      </c>
      <c r="O231" s="4" t="s">
        <v>51</v>
      </c>
    </row>
    <row r="232" spans="1:15" s="1" customFormat="1">
      <c r="A232" s="3">
        <v>46017.743483796294</v>
      </c>
      <c r="B232" s="3">
        <v>46017.743483796294</v>
      </c>
      <c r="C232" s="4" t="s">
        <v>284</v>
      </c>
      <c r="D232" s="4">
        <v>15270999</v>
      </c>
      <c r="E232" s="4" t="s">
        <v>15</v>
      </c>
      <c r="F232" s="4">
        <v>648</v>
      </c>
      <c r="G232" s="4">
        <v>648</v>
      </c>
      <c r="H232" s="4">
        <v>0</v>
      </c>
      <c r="I232" s="4">
        <v>0</v>
      </c>
      <c r="J232" s="4">
        <v>648</v>
      </c>
      <c r="K232" s="4">
        <v>0</v>
      </c>
      <c r="L232" s="4">
        <v>648</v>
      </c>
      <c r="M232" s="5">
        <v>648</v>
      </c>
      <c r="N232" s="4">
        <v>0</v>
      </c>
      <c r="O232" s="4" t="s">
        <v>51</v>
      </c>
    </row>
    <row r="233" spans="1:15" s="1" customFormat="1">
      <c r="A233" s="3">
        <v>46017.915729166663</v>
      </c>
      <c r="B233" s="3">
        <v>46017.915729166663</v>
      </c>
      <c r="C233" s="4" t="s">
        <v>285</v>
      </c>
      <c r="D233" s="4">
        <v>14062513</v>
      </c>
      <c r="E233" s="4" t="s">
        <v>15</v>
      </c>
      <c r="F233" s="4">
        <v>648</v>
      </c>
      <c r="G233" s="4">
        <v>648</v>
      </c>
      <c r="H233" s="4">
        <v>0</v>
      </c>
      <c r="I233" s="4">
        <v>0</v>
      </c>
      <c r="J233" s="4">
        <v>648</v>
      </c>
      <c r="K233" s="4">
        <v>0</v>
      </c>
      <c r="L233" s="4">
        <v>648</v>
      </c>
      <c r="M233" s="5">
        <v>648</v>
      </c>
      <c r="N233" s="4">
        <v>0</v>
      </c>
      <c r="O233" s="4" t="s">
        <v>51</v>
      </c>
    </row>
    <row r="234" spans="1:15" s="1" customFormat="1">
      <c r="A234" s="3">
        <v>46017.954004629632</v>
      </c>
      <c r="B234" s="3">
        <v>46017.954004629632</v>
      </c>
      <c r="C234" s="4" t="s">
        <v>286</v>
      </c>
      <c r="D234" s="4">
        <v>18061412</v>
      </c>
      <c r="E234" s="4" t="s">
        <v>15</v>
      </c>
      <c r="F234" s="4">
        <v>648</v>
      </c>
      <c r="G234" s="4">
        <v>648</v>
      </c>
      <c r="H234" s="4">
        <v>0</v>
      </c>
      <c r="I234" s="4">
        <v>0</v>
      </c>
      <c r="J234" s="4">
        <v>648</v>
      </c>
      <c r="K234" s="4">
        <v>0</v>
      </c>
      <c r="L234" s="4">
        <v>648</v>
      </c>
      <c r="M234" s="5">
        <v>648</v>
      </c>
      <c r="N234" s="4">
        <v>0</v>
      </c>
      <c r="O234" s="4" t="s">
        <v>51</v>
      </c>
    </row>
    <row r="235" spans="1:15" s="1" customFormat="1">
      <c r="A235" s="3">
        <v>46018.447615740741</v>
      </c>
      <c r="B235" s="3">
        <v>46018.447615740741</v>
      </c>
      <c r="C235" s="4" t="s">
        <v>287</v>
      </c>
      <c r="D235" s="4">
        <v>20349304</v>
      </c>
      <c r="E235" s="4" t="s">
        <v>15</v>
      </c>
      <c r="F235" s="4">
        <v>648</v>
      </c>
      <c r="G235" s="4">
        <v>648</v>
      </c>
      <c r="H235" s="4">
        <v>0</v>
      </c>
      <c r="I235" s="4">
        <v>0</v>
      </c>
      <c r="J235" s="4">
        <v>648</v>
      </c>
      <c r="K235" s="4">
        <v>0</v>
      </c>
      <c r="L235" s="4">
        <v>648</v>
      </c>
      <c r="M235" s="5">
        <v>648</v>
      </c>
      <c r="N235" s="4">
        <v>0</v>
      </c>
      <c r="O235" s="4" t="s">
        <v>51</v>
      </c>
    </row>
    <row r="236" spans="1:15" s="1" customFormat="1">
      <c r="A236" s="3">
        <v>46018.529398148145</v>
      </c>
      <c r="B236" s="3">
        <v>46018.529398148145</v>
      </c>
      <c r="C236" s="4" t="s">
        <v>288</v>
      </c>
      <c r="D236" s="4">
        <v>16651228</v>
      </c>
      <c r="E236" s="4" t="s">
        <v>15</v>
      </c>
      <c r="F236" s="4">
        <v>648</v>
      </c>
      <c r="G236" s="4">
        <v>648</v>
      </c>
      <c r="H236" s="4">
        <v>0</v>
      </c>
      <c r="I236" s="4">
        <v>0</v>
      </c>
      <c r="J236" s="4">
        <v>648</v>
      </c>
      <c r="K236" s="4">
        <v>0</v>
      </c>
      <c r="L236" s="4">
        <v>648</v>
      </c>
      <c r="M236" s="5">
        <v>648</v>
      </c>
      <c r="N236" s="4">
        <v>0</v>
      </c>
      <c r="O236" s="4" t="s">
        <v>51</v>
      </c>
    </row>
    <row r="237" spans="1:15" s="1" customFormat="1">
      <c r="A237" s="3">
        <v>46018.585104166668</v>
      </c>
      <c r="B237" s="3">
        <v>46018.585104166668</v>
      </c>
      <c r="C237" s="4" t="s">
        <v>289</v>
      </c>
      <c r="D237" s="4">
        <v>13205208</v>
      </c>
      <c r="E237" s="4" t="s">
        <v>15</v>
      </c>
      <c r="F237" s="4">
        <v>648</v>
      </c>
      <c r="G237" s="4">
        <v>648</v>
      </c>
      <c r="H237" s="4">
        <v>0</v>
      </c>
      <c r="I237" s="4">
        <v>0</v>
      </c>
      <c r="J237" s="4">
        <v>648</v>
      </c>
      <c r="K237" s="4">
        <v>0</v>
      </c>
      <c r="L237" s="4">
        <v>648</v>
      </c>
      <c r="M237" s="5">
        <v>648</v>
      </c>
      <c r="N237" s="4">
        <v>0</v>
      </c>
      <c r="O237" s="4" t="s">
        <v>51</v>
      </c>
    </row>
    <row r="238" spans="1:15" s="1" customFormat="1">
      <c r="A238" s="3">
        <v>46018.636550925927</v>
      </c>
      <c r="B238" s="3">
        <v>46018.636550925927</v>
      </c>
      <c r="C238" s="4" t="s">
        <v>290</v>
      </c>
      <c r="D238" s="4">
        <v>19849896</v>
      </c>
      <c r="E238" s="4" t="s">
        <v>15</v>
      </c>
      <c r="F238" s="4">
        <v>648</v>
      </c>
      <c r="G238" s="4">
        <v>648</v>
      </c>
      <c r="H238" s="4">
        <v>0</v>
      </c>
      <c r="I238" s="4">
        <v>0</v>
      </c>
      <c r="J238" s="4">
        <v>648</v>
      </c>
      <c r="K238" s="4">
        <v>0</v>
      </c>
      <c r="L238" s="4">
        <v>648</v>
      </c>
      <c r="M238" s="5">
        <v>648</v>
      </c>
      <c r="N238" s="4">
        <v>0</v>
      </c>
      <c r="O238" s="4" t="s">
        <v>51</v>
      </c>
    </row>
    <row r="239" spans="1:15" s="1" customFormat="1">
      <c r="A239" s="3">
        <v>46018.738645833335</v>
      </c>
      <c r="B239" s="3">
        <v>46018.738645833335</v>
      </c>
      <c r="C239" s="4" t="s">
        <v>291</v>
      </c>
      <c r="D239" s="4">
        <v>20350132</v>
      </c>
      <c r="E239" s="4" t="s">
        <v>15</v>
      </c>
      <c r="F239" s="4">
        <v>648</v>
      </c>
      <c r="G239" s="4">
        <v>648</v>
      </c>
      <c r="H239" s="4">
        <v>0</v>
      </c>
      <c r="I239" s="4">
        <v>0</v>
      </c>
      <c r="J239" s="4">
        <v>648</v>
      </c>
      <c r="K239" s="4">
        <v>0</v>
      </c>
      <c r="L239" s="4">
        <v>648</v>
      </c>
      <c r="M239" s="5">
        <v>648</v>
      </c>
      <c r="N239" s="4">
        <v>0</v>
      </c>
      <c r="O239" s="4" t="s">
        <v>51</v>
      </c>
    </row>
    <row r="240" spans="1:15" s="1" customFormat="1">
      <c r="A240" s="3">
        <v>46018.796111111114</v>
      </c>
      <c r="B240" s="3">
        <v>46018.796111111114</v>
      </c>
      <c r="C240" s="4" t="s">
        <v>292</v>
      </c>
      <c r="D240" s="4">
        <v>19032903</v>
      </c>
      <c r="E240" s="4" t="s">
        <v>15</v>
      </c>
      <c r="F240" s="4">
        <v>648</v>
      </c>
      <c r="G240" s="4">
        <v>648</v>
      </c>
      <c r="H240" s="4">
        <v>0</v>
      </c>
      <c r="I240" s="4">
        <v>0</v>
      </c>
      <c r="J240" s="4">
        <v>648</v>
      </c>
      <c r="K240" s="4">
        <v>0</v>
      </c>
      <c r="L240" s="4">
        <v>648</v>
      </c>
      <c r="M240" s="5">
        <v>648</v>
      </c>
      <c r="N240" s="4">
        <v>0</v>
      </c>
      <c r="O240" s="4" t="s">
        <v>51</v>
      </c>
    </row>
    <row r="241" spans="1:15" s="1" customFormat="1">
      <c r="A241" s="3">
        <v>46018.966215277775</v>
      </c>
      <c r="B241" s="3">
        <v>46018.966215277775</v>
      </c>
      <c r="C241" s="4" t="s">
        <v>293</v>
      </c>
      <c r="D241" s="4">
        <v>17911756</v>
      </c>
      <c r="E241" s="4" t="s">
        <v>15</v>
      </c>
      <c r="F241" s="4">
        <v>648</v>
      </c>
      <c r="G241" s="4">
        <v>648</v>
      </c>
      <c r="H241" s="4">
        <v>0</v>
      </c>
      <c r="I241" s="4">
        <v>0</v>
      </c>
      <c r="J241" s="4">
        <v>648</v>
      </c>
      <c r="K241" s="4">
        <v>0</v>
      </c>
      <c r="L241" s="4">
        <v>648</v>
      </c>
      <c r="M241" s="5">
        <v>648</v>
      </c>
      <c r="N241" s="4">
        <v>0</v>
      </c>
      <c r="O241" s="4" t="s">
        <v>51</v>
      </c>
    </row>
    <row r="242" spans="1:15" s="1" customFormat="1">
      <c r="A242" s="3">
        <v>46019.218530092592</v>
      </c>
      <c r="B242" s="3">
        <v>46019.218530092592</v>
      </c>
      <c r="C242" s="4" t="s">
        <v>294</v>
      </c>
      <c r="D242" s="4">
        <v>18622974</v>
      </c>
      <c r="E242" s="4" t="s">
        <v>15</v>
      </c>
      <c r="F242" s="4">
        <v>648</v>
      </c>
      <c r="G242" s="4">
        <v>648</v>
      </c>
      <c r="H242" s="4">
        <v>0</v>
      </c>
      <c r="I242" s="4">
        <v>0</v>
      </c>
      <c r="J242" s="4">
        <v>648</v>
      </c>
      <c r="K242" s="4">
        <v>0</v>
      </c>
      <c r="L242" s="4">
        <v>648</v>
      </c>
      <c r="M242" s="5">
        <v>648</v>
      </c>
      <c r="N242" s="4">
        <v>0</v>
      </c>
      <c r="O242" s="4" t="s">
        <v>51</v>
      </c>
    </row>
    <row r="243" spans="1:15" s="1" customFormat="1">
      <c r="A243" s="3">
        <v>46019.40053240741</v>
      </c>
      <c r="B243" s="3">
        <v>46019.40053240741</v>
      </c>
      <c r="C243" s="4" t="s">
        <v>295</v>
      </c>
      <c r="D243" s="4">
        <v>18402392</v>
      </c>
      <c r="E243" s="4" t="s">
        <v>15</v>
      </c>
      <c r="F243" s="4">
        <v>648</v>
      </c>
      <c r="G243" s="4">
        <v>648</v>
      </c>
      <c r="H243" s="4">
        <v>0</v>
      </c>
      <c r="I243" s="4">
        <v>0</v>
      </c>
      <c r="J243" s="4">
        <v>648</v>
      </c>
      <c r="K243" s="4">
        <v>0</v>
      </c>
      <c r="L243" s="4">
        <v>648</v>
      </c>
      <c r="M243" s="5">
        <v>648</v>
      </c>
      <c r="N243" s="4">
        <v>0</v>
      </c>
      <c r="O243" s="4" t="s">
        <v>51</v>
      </c>
    </row>
    <row r="244" spans="1:15" s="1" customFormat="1">
      <c r="A244" s="3">
        <v>46019.56763888889</v>
      </c>
      <c r="B244" s="3">
        <v>46019.56763888889</v>
      </c>
      <c r="C244" s="4" t="s">
        <v>296</v>
      </c>
      <c r="D244" s="4">
        <v>19942859</v>
      </c>
      <c r="E244" s="4" t="s">
        <v>15</v>
      </c>
      <c r="F244" s="4">
        <v>648</v>
      </c>
      <c r="G244" s="4">
        <v>648</v>
      </c>
      <c r="H244" s="4">
        <v>0</v>
      </c>
      <c r="I244" s="4">
        <v>0</v>
      </c>
      <c r="J244" s="4">
        <v>648</v>
      </c>
      <c r="K244" s="4">
        <v>0</v>
      </c>
      <c r="L244" s="4">
        <v>648</v>
      </c>
      <c r="M244" s="5">
        <v>648</v>
      </c>
      <c r="N244" s="4">
        <v>0</v>
      </c>
      <c r="O244" s="4" t="s">
        <v>51</v>
      </c>
    </row>
    <row r="245" spans="1:15" s="1" customFormat="1">
      <c r="A245" s="3">
        <v>46019.723368055558</v>
      </c>
      <c r="B245" s="3">
        <v>46019.723368055558</v>
      </c>
      <c r="C245" s="4" t="s">
        <v>297</v>
      </c>
      <c r="D245" s="4">
        <v>20108484</v>
      </c>
      <c r="E245" s="4" t="s">
        <v>15</v>
      </c>
      <c r="F245" s="4">
        <v>648</v>
      </c>
      <c r="G245" s="4">
        <v>648</v>
      </c>
      <c r="H245" s="4">
        <v>0</v>
      </c>
      <c r="I245" s="4">
        <v>0</v>
      </c>
      <c r="J245" s="4">
        <v>648</v>
      </c>
      <c r="K245" s="4">
        <v>0</v>
      </c>
      <c r="L245" s="4">
        <v>648</v>
      </c>
      <c r="M245" s="5">
        <v>648</v>
      </c>
      <c r="N245" s="4">
        <v>0</v>
      </c>
      <c r="O245" s="4" t="s">
        <v>51</v>
      </c>
    </row>
    <row r="246" spans="1:15" s="1" customFormat="1">
      <c r="A246" s="3">
        <v>46019.806226851855</v>
      </c>
      <c r="B246" s="3">
        <v>46019.806226851855</v>
      </c>
      <c r="C246" s="4" t="s">
        <v>298</v>
      </c>
      <c r="D246" s="4">
        <v>20350414</v>
      </c>
      <c r="E246" s="4" t="s">
        <v>15</v>
      </c>
      <c r="F246" s="4">
        <v>648</v>
      </c>
      <c r="G246" s="4">
        <v>648</v>
      </c>
      <c r="H246" s="4">
        <v>0</v>
      </c>
      <c r="I246" s="4">
        <v>0</v>
      </c>
      <c r="J246" s="4">
        <v>648</v>
      </c>
      <c r="K246" s="4">
        <v>0</v>
      </c>
      <c r="L246" s="4">
        <v>648</v>
      </c>
      <c r="M246" s="5">
        <v>648</v>
      </c>
      <c r="N246" s="4">
        <v>0</v>
      </c>
      <c r="O246" s="4" t="s">
        <v>51</v>
      </c>
    </row>
    <row r="247" spans="1:15" s="1" customFormat="1">
      <c r="A247" s="3">
        <v>46019.821666666663</v>
      </c>
      <c r="B247" s="3">
        <v>46019.821666666663</v>
      </c>
      <c r="C247" s="4" t="s">
        <v>299</v>
      </c>
      <c r="D247" s="4">
        <v>13386179</v>
      </c>
      <c r="E247" s="4" t="s">
        <v>15</v>
      </c>
      <c r="F247" s="4">
        <v>648</v>
      </c>
      <c r="G247" s="4">
        <v>648</v>
      </c>
      <c r="H247" s="4">
        <v>0</v>
      </c>
      <c r="I247" s="4">
        <v>0</v>
      </c>
      <c r="J247" s="4">
        <v>648</v>
      </c>
      <c r="K247" s="4">
        <v>0</v>
      </c>
      <c r="L247" s="4">
        <v>648</v>
      </c>
      <c r="M247" s="5">
        <v>648</v>
      </c>
      <c r="N247" s="4">
        <v>0</v>
      </c>
      <c r="O247" s="4" t="s">
        <v>51</v>
      </c>
    </row>
    <row r="248" spans="1:15" s="1" customFormat="1">
      <c r="A248" s="3">
        <v>46019.917719907404</v>
      </c>
      <c r="B248" s="3">
        <v>46019.917719907404</v>
      </c>
      <c r="C248" s="4" t="s">
        <v>300</v>
      </c>
      <c r="D248" s="4">
        <v>17762613</v>
      </c>
      <c r="E248" s="4" t="s">
        <v>15</v>
      </c>
      <c r="F248" s="4">
        <v>648</v>
      </c>
      <c r="G248" s="4">
        <v>648</v>
      </c>
      <c r="H248" s="4">
        <v>0</v>
      </c>
      <c r="I248" s="4">
        <v>0</v>
      </c>
      <c r="J248" s="4">
        <v>648</v>
      </c>
      <c r="K248" s="4">
        <v>0</v>
      </c>
      <c r="L248" s="4">
        <v>648</v>
      </c>
      <c r="M248" s="5">
        <v>648</v>
      </c>
      <c r="N248" s="4">
        <v>0</v>
      </c>
      <c r="O248" s="4" t="s">
        <v>51</v>
      </c>
    </row>
    <row r="249" spans="1:15" s="1" customFormat="1">
      <c r="A249" s="3">
        <v>46019.990902777776</v>
      </c>
      <c r="B249" s="3">
        <v>46019.990902777776</v>
      </c>
      <c r="C249" s="4" t="s">
        <v>301</v>
      </c>
      <c r="D249" s="4">
        <v>20352433</v>
      </c>
      <c r="E249" s="4" t="s">
        <v>15</v>
      </c>
      <c r="F249" s="4">
        <v>648</v>
      </c>
      <c r="G249" s="4">
        <v>648</v>
      </c>
      <c r="H249" s="4">
        <v>0</v>
      </c>
      <c r="I249" s="4">
        <v>0</v>
      </c>
      <c r="J249" s="4">
        <v>648</v>
      </c>
      <c r="K249" s="4">
        <v>0</v>
      </c>
      <c r="L249" s="4">
        <v>648</v>
      </c>
      <c r="M249" s="5">
        <v>648</v>
      </c>
      <c r="N249" s="4">
        <v>0</v>
      </c>
      <c r="O249" s="4" t="s">
        <v>51</v>
      </c>
    </row>
    <row r="250" spans="1:15" s="1" customFormat="1">
      <c r="A250" s="3">
        <v>46020.010949074072</v>
      </c>
      <c r="B250" s="3">
        <v>46020.010949074072</v>
      </c>
      <c r="C250" s="4" t="s">
        <v>302</v>
      </c>
      <c r="D250" s="4">
        <v>20351315</v>
      </c>
      <c r="E250" s="4" t="s">
        <v>15</v>
      </c>
      <c r="F250" s="4">
        <v>648</v>
      </c>
      <c r="G250" s="4">
        <v>648</v>
      </c>
      <c r="H250" s="4">
        <v>0</v>
      </c>
      <c r="I250" s="4">
        <v>0</v>
      </c>
      <c r="J250" s="4">
        <v>648</v>
      </c>
      <c r="K250" s="4">
        <v>0</v>
      </c>
      <c r="L250" s="4">
        <v>648</v>
      </c>
      <c r="M250" s="5">
        <v>648</v>
      </c>
      <c r="N250" s="4">
        <v>0</v>
      </c>
      <c r="O250" s="4" t="s">
        <v>51</v>
      </c>
    </row>
    <row r="251" spans="1:15" s="1" customFormat="1">
      <c r="A251" s="3">
        <v>46020.115856481483</v>
      </c>
      <c r="B251" s="3">
        <v>46020.115856481483</v>
      </c>
      <c r="C251" s="4" t="s">
        <v>303</v>
      </c>
      <c r="D251" s="4">
        <v>20350311</v>
      </c>
      <c r="E251" s="4" t="s">
        <v>15</v>
      </c>
      <c r="F251" s="4">
        <v>648</v>
      </c>
      <c r="G251" s="4">
        <v>648</v>
      </c>
      <c r="H251" s="4">
        <v>0</v>
      </c>
      <c r="I251" s="4">
        <v>0</v>
      </c>
      <c r="J251" s="4">
        <v>648</v>
      </c>
      <c r="K251" s="4">
        <v>0</v>
      </c>
      <c r="L251" s="4">
        <v>648</v>
      </c>
      <c r="M251" s="5">
        <v>648</v>
      </c>
      <c r="N251" s="4">
        <v>0</v>
      </c>
      <c r="O251" s="4" t="s">
        <v>51</v>
      </c>
    </row>
    <row r="252" spans="1:15" s="1" customFormat="1">
      <c r="A252" s="3">
        <v>46020.202766203707</v>
      </c>
      <c r="B252" s="3">
        <v>46020.202766203707</v>
      </c>
      <c r="C252" s="4" t="s">
        <v>304</v>
      </c>
      <c r="D252" s="4">
        <v>20352701</v>
      </c>
      <c r="E252" s="4" t="s">
        <v>15</v>
      </c>
      <c r="F252" s="4">
        <v>648</v>
      </c>
      <c r="G252" s="4">
        <v>648</v>
      </c>
      <c r="H252" s="4">
        <v>0</v>
      </c>
      <c r="I252" s="4">
        <v>0</v>
      </c>
      <c r="J252" s="4">
        <v>648</v>
      </c>
      <c r="K252" s="4">
        <v>0</v>
      </c>
      <c r="L252" s="4">
        <v>648</v>
      </c>
      <c r="M252" s="5">
        <v>648</v>
      </c>
      <c r="N252" s="4">
        <v>0</v>
      </c>
      <c r="O252" s="4" t="s">
        <v>51</v>
      </c>
    </row>
    <row r="253" spans="1:15" s="1" customFormat="1">
      <c r="A253" s="3">
        <v>46020.410312499997</v>
      </c>
      <c r="B253" s="3">
        <v>46020.410312499997</v>
      </c>
      <c r="C253" s="4" t="s">
        <v>305</v>
      </c>
      <c r="D253" s="4">
        <v>17962749</v>
      </c>
      <c r="E253" s="4" t="s">
        <v>15</v>
      </c>
      <c r="F253" s="4">
        <v>648</v>
      </c>
      <c r="G253" s="4">
        <v>648</v>
      </c>
      <c r="H253" s="4">
        <v>0</v>
      </c>
      <c r="I253" s="4">
        <v>0</v>
      </c>
      <c r="J253" s="4">
        <v>648</v>
      </c>
      <c r="K253" s="4">
        <v>0</v>
      </c>
      <c r="L253" s="4">
        <v>648</v>
      </c>
      <c r="M253" s="5">
        <v>648</v>
      </c>
      <c r="N253" s="4">
        <v>0</v>
      </c>
      <c r="O253" s="4" t="s">
        <v>51</v>
      </c>
    </row>
    <row r="254" spans="1:15" s="1" customFormat="1">
      <c r="A254" s="3">
        <v>46020.499502314815</v>
      </c>
      <c r="B254" s="3">
        <v>46020.499502314815</v>
      </c>
      <c r="C254" s="4" t="s">
        <v>306</v>
      </c>
      <c r="D254" s="4">
        <v>20352851</v>
      </c>
      <c r="E254" s="4" t="s">
        <v>15</v>
      </c>
      <c r="F254" s="4">
        <v>648</v>
      </c>
      <c r="G254" s="4">
        <v>648</v>
      </c>
      <c r="H254" s="4">
        <v>0</v>
      </c>
      <c r="I254" s="4">
        <v>0</v>
      </c>
      <c r="J254" s="4">
        <v>648</v>
      </c>
      <c r="K254" s="4">
        <v>0</v>
      </c>
      <c r="L254" s="4">
        <v>648</v>
      </c>
      <c r="M254" s="5">
        <v>648</v>
      </c>
      <c r="N254" s="4">
        <v>0</v>
      </c>
      <c r="O254" s="4" t="s">
        <v>51</v>
      </c>
    </row>
    <row r="255" spans="1:15" s="1" customFormat="1">
      <c r="A255" s="3">
        <v>46020.599780092591</v>
      </c>
      <c r="B255" s="3">
        <v>46020.599780092591</v>
      </c>
      <c r="C255" s="4" t="s">
        <v>307</v>
      </c>
      <c r="D255" s="4">
        <v>19605973</v>
      </c>
      <c r="E255" s="4" t="s">
        <v>16</v>
      </c>
      <c r="F255" s="4">
        <v>648</v>
      </c>
      <c r="G255" s="4">
        <v>648</v>
      </c>
      <c r="H255" s="4">
        <v>0</v>
      </c>
      <c r="I255" s="4">
        <v>0</v>
      </c>
      <c r="J255" s="4">
        <v>648</v>
      </c>
      <c r="K255" s="4">
        <v>0</v>
      </c>
      <c r="L255" s="4">
        <v>648</v>
      </c>
      <c r="M255" s="5">
        <v>648</v>
      </c>
      <c r="N255" s="4">
        <v>0</v>
      </c>
      <c r="O255" s="4" t="s">
        <v>51</v>
      </c>
    </row>
    <row r="256" spans="1:15" s="1" customFormat="1">
      <c r="A256" s="3">
        <v>46020.602395833332</v>
      </c>
      <c r="B256" s="3">
        <v>46020.602395833332</v>
      </c>
      <c r="C256" s="4" t="s">
        <v>308</v>
      </c>
      <c r="D256" s="4">
        <v>20352985</v>
      </c>
      <c r="E256" s="4" t="s">
        <v>15</v>
      </c>
      <c r="F256" s="4">
        <v>648</v>
      </c>
      <c r="G256" s="4">
        <v>648</v>
      </c>
      <c r="H256" s="4">
        <v>0</v>
      </c>
      <c r="I256" s="4">
        <v>0</v>
      </c>
      <c r="J256" s="4">
        <v>648</v>
      </c>
      <c r="K256" s="4">
        <v>0</v>
      </c>
      <c r="L256" s="4">
        <v>648</v>
      </c>
      <c r="M256" s="5">
        <v>648</v>
      </c>
      <c r="N256" s="4">
        <v>0</v>
      </c>
      <c r="O256" s="4" t="s">
        <v>51</v>
      </c>
    </row>
    <row r="257" spans="1:15" s="1" customFormat="1">
      <c r="A257" s="3">
        <v>46020.745462962965</v>
      </c>
      <c r="B257" s="3">
        <v>46020.745462962965</v>
      </c>
      <c r="C257" s="4" t="s">
        <v>309</v>
      </c>
      <c r="D257" s="4">
        <v>14490635</v>
      </c>
      <c r="E257" s="4" t="s">
        <v>15</v>
      </c>
      <c r="F257" s="4">
        <v>648</v>
      </c>
      <c r="G257" s="4">
        <v>648</v>
      </c>
      <c r="H257" s="4">
        <v>0</v>
      </c>
      <c r="I257" s="4">
        <v>0</v>
      </c>
      <c r="J257" s="4">
        <v>648</v>
      </c>
      <c r="K257" s="4">
        <v>0</v>
      </c>
      <c r="L257" s="4">
        <v>648</v>
      </c>
      <c r="M257" s="5">
        <v>648</v>
      </c>
      <c r="N257" s="4">
        <v>0</v>
      </c>
      <c r="O257" s="4" t="s">
        <v>51</v>
      </c>
    </row>
    <row r="258" spans="1:15" s="1" customFormat="1">
      <c r="A258" s="3">
        <v>46020.864861111113</v>
      </c>
      <c r="B258" s="3">
        <v>46020.864861111113</v>
      </c>
      <c r="C258" s="4" t="s">
        <v>310</v>
      </c>
      <c r="D258" s="4">
        <v>16826672</v>
      </c>
      <c r="E258" s="4" t="s">
        <v>15</v>
      </c>
      <c r="F258" s="4">
        <v>648</v>
      </c>
      <c r="G258" s="4">
        <v>648</v>
      </c>
      <c r="H258" s="4">
        <v>0</v>
      </c>
      <c r="I258" s="4">
        <v>0</v>
      </c>
      <c r="J258" s="4">
        <v>648</v>
      </c>
      <c r="K258" s="4">
        <v>0</v>
      </c>
      <c r="L258" s="4">
        <v>648</v>
      </c>
      <c r="M258" s="5">
        <v>648</v>
      </c>
      <c r="N258" s="4">
        <v>0</v>
      </c>
      <c r="O258" s="4" t="s">
        <v>51</v>
      </c>
    </row>
    <row r="259" spans="1:15" s="1" customFormat="1">
      <c r="A259" s="3">
        <v>46020.890648148146</v>
      </c>
      <c r="B259" s="3">
        <v>46020.890648148146</v>
      </c>
      <c r="C259" s="4" t="s">
        <v>311</v>
      </c>
      <c r="D259" s="4">
        <v>16469793</v>
      </c>
      <c r="E259" s="4" t="s">
        <v>15</v>
      </c>
      <c r="F259" s="4">
        <v>648</v>
      </c>
      <c r="G259" s="4">
        <v>648</v>
      </c>
      <c r="H259" s="4">
        <v>0</v>
      </c>
      <c r="I259" s="4">
        <v>0</v>
      </c>
      <c r="J259" s="4">
        <v>648</v>
      </c>
      <c r="K259" s="4">
        <v>0</v>
      </c>
      <c r="L259" s="4">
        <v>648</v>
      </c>
      <c r="M259" s="5">
        <v>648</v>
      </c>
      <c r="N259" s="4">
        <v>0</v>
      </c>
      <c r="O259" s="4" t="s">
        <v>51</v>
      </c>
    </row>
    <row r="260" spans="1:15" s="1" customFormat="1">
      <c r="A260" s="3">
        <v>46020.993101851855</v>
      </c>
      <c r="B260" s="3">
        <v>46020.993101851855</v>
      </c>
      <c r="C260" s="4" t="s">
        <v>312</v>
      </c>
      <c r="D260" s="4">
        <v>17707064</v>
      </c>
      <c r="E260" s="4" t="s">
        <v>15</v>
      </c>
      <c r="F260" s="4">
        <v>648</v>
      </c>
      <c r="G260" s="4">
        <v>648</v>
      </c>
      <c r="H260" s="4">
        <v>0</v>
      </c>
      <c r="I260" s="4">
        <v>0</v>
      </c>
      <c r="J260" s="4">
        <v>648</v>
      </c>
      <c r="K260" s="4">
        <v>0</v>
      </c>
      <c r="L260" s="4">
        <v>648</v>
      </c>
      <c r="M260" s="5">
        <v>648</v>
      </c>
      <c r="N260" s="4">
        <v>0</v>
      </c>
      <c r="O260" s="4" t="s">
        <v>51</v>
      </c>
    </row>
    <row r="261" spans="1:15" s="1" customFormat="1">
      <c r="A261" s="3">
        <v>46020.995046296295</v>
      </c>
      <c r="B261" s="3">
        <v>46020.995046296295</v>
      </c>
      <c r="C261" s="4" t="s">
        <v>313</v>
      </c>
      <c r="D261" s="4">
        <v>20353595</v>
      </c>
      <c r="E261" s="4" t="s">
        <v>15</v>
      </c>
      <c r="F261" s="4">
        <v>648</v>
      </c>
      <c r="G261" s="4">
        <v>648</v>
      </c>
      <c r="H261" s="4">
        <v>0</v>
      </c>
      <c r="I261" s="4">
        <v>0</v>
      </c>
      <c r="J261" s="4">
        <v>648</v>
      </c>
      <c r="K261" s="4">
        <v>0</v>
      </c>
      <c r="L261" s="4">
        <v>648</v>
      </c>
      <c r="M261" s="5">
        <v>648</v>
      </c>
      <c r="N261" s="4">
        <v>0</v>
      </c>
      <c r="O261" s="4" t="s">
        <v>51</v>
      </c>
    </row>
    <row r="262" spans="1:15" s="1" customFormat="1">
      <c r="A262" s="3">
        <v>46021.016921296294</v>
      </c>
      <c r="B262" s="3">
        <v>46021.016921296294</v>
      </c>
      <c r="C262" s="4" t="s">
        <v>314</v>
      </c>
      <c r="D262" s="4">
        <v>20353438</v>
      </c>
      <c r="E262" s="4" t="s">
        <v>15</v>
      </c>
      <c r="F262" s="4">
        <v>648</v>
      </c>
      <c r="G262" s="4">
        <v>648</v>
      </c>
      <c r="H262" s="4">
        <v>0</v>
      </c>
      <c r="I262" s="4">
        <v>0</v>
      </c>
      <c r="J262" s="4">
        <v>648</v>
      </c>
      <c r="K262" s="4">
        <v>0</v>
      </c>
      <c r="L262" s="4">
        <v>648</v>
      </c>
      <c r="M262" s="5">
        <v>648</v>
      </c>
      <c r="N262" s="4">
        <v>0</v>
      </c>
      <c r="O262" s="4" t="s">
        <v>51</v>
      </c>
    </row>
    <row r="263" spans="1:15" s="1" customFormat="1">
      <c r="A263" s="3">
        <v>46021.166585648149</v>
      </c>
      <c r="B263" s="3">
        <v>46021.166585648149</v>
      </c>
      <c r="C263" s="4" t="s">
        <v>315</v>
      </c>
      <c r="D263" s="4">
        <v>19938684</v>
      </c>
      <c r="E263" s="4" t="s">
        <v>15</v>
      </c>
      <c r="F263" s="4">
        <v>648</v>
      </c>
      <c r="G263" s="4">
        <v>648</v>
      </c>
      <c r="H263" s="4">
        <v>0</v>
      </c>
      <c r="I263" s="4">
        <v>0</v>
      </c>
      <c r="J263" s="4">
        <v>648</v>
      </c>
      <c r="K263" s="4">
        <v>0</v>
      </c>
      <c r="L263" s="4">
        <v>648</v>
      </c>
      <c r="M263" s="5">
        <v>648</v>
      </c>
      <c r="N263" s="4">
        <v>0</v>
      </c>
      <c r="O263" s="4" t="s">
        <v>51</v>
      </c>
    </row>
    <row r="264" spans="1:15" s="1" customFormat="1">
      <c r="A264" s="3">
        <v>46021.429328703707</v>
      </c>
      <c r="B264" s="3">
        <v>46021.429328703707</v>
      </c>
      <c r="C264" s="4" t="s">
        <v>316</v>
      </c>
      <c r="D264" s="4">
        <v>15952565</v>
      </c>
      <c r="E264" s="4" t="s">
        <v>15</v>
      </c>
      <c r="F264" s="4">
        <v>648</v>
      </c>
      <c r="G264" s="4">
        <v>648</v>
      </c>
      <c r="H264" s="4">
        <v>0</v>
      </c>
      <c r="I264" s="4">
        <v>0</v>
      </c>
      <c r="J264" s="4">
        <v>648</v>
      </c>
      <c r="K264" s="4">
        <v>0</v>
      </c>
      <c r="L264" s="4">
        <v>648</v>
      </c>
      <c r="M264" s="5">
        <v>648</v>
      </c>
      <c r="N264" s="4">
        <v>0</v>
      </c>
      <c r="O264" s="4" t="s">
        <v>51</v>
      </c>
    </row>
    <row r="265" spans="1:15" s="1" customFormat="1">
      <c r="A265" s="3">
        <v>46021.647372685184</v>
      </c>
      <c r="B265" s="3">
        <v>46021.647372685184</v>
      </c>
      <c r="C265" s="4" t="s">
        <v>317</v>
      </c>
      <c r="D265" s="4">
        <v>20354298</v>
      </c>
      <c r="E265" s="4" t="s">
        <v>15</v>
      </c>
      <c r="F265" s="4">
        <v>648</v>
      </c>
      <c r="G265" s="4">
        <v>648</v>
      </c>
      <c r="H265" s="4">
        <v>0</v>
      </c>
      <c r="I265" s="4">
        <v>0</v>
      </c>
      <c r="J265" s="4">
        <v>648</v>
      </c>
      <c r="K265" s="4">
        <v>0</v>
      </c>
      <c r="L265" s="4">
        <v>648</v>
      </c>
      <c r="M265" s="5">
        <v>648</v>
      </c>
      <c r="N265" s="4">
        <v>0</v>
      </c>
      <c r="O265" s="4" t="s">
        <v>51</v>
      </c>
    </row>
    <row r="266" spans="1:15" s="1" customFormat="1">
      <c r="A266" s="3">
        <v>46021.675821759258</v>
      </c>
      <c r="B266" s="3">
        <v>46021.675821759258</v>
      </c>
      <c r="C266" s="4" t="s">
        <v>318</v>
      </c>
      <c r="D266" s="4">
        <v>20078096</v>
      </c>
      <c r="E266" s="4" t="s">
        <v>15</v>
      </c>
      <c r="F266" s="4">
        <v>648</v>
      </c>
      <c r="G266" s="4">
        <v>648</v>
      </c>
      <c r="H266" s="4">
        <v>0</v>
      </c>
      <c r="I266" s="4">
        <v>0</v>
      </c>
      <c r="J266" s="4">
        <v>648</v>
      </c>
      <c r="K266" s="4">
        <v>0</v>
      </c>
      <c r="L266" s="4">
        <v>648</v>
      </c>
      <c r="M266" s="5">
        <v>648</v>
      </c>
      <c r="N266" s="4">
        <v>0</v>
      </c>
      <c r="O266" s="4" t="s">
        <v>51</v>
      </c>
    </row>
    <row r="267" spans="1:15" s="1" customFormat="1">
      <c r="A267" s="3">
        <v>46021.751712962963</v>
      </c>
      <c r="B267" s="3">
        <v>46021.751712962963</v>
      </c>
      <c r="C267" s="4" t="s">
        <v>319</v>
      </c>
      <c r="D267" s="4">
        <v>19962578</v>
      </c>
      <c r="E267" s="4" t="s">
        <v>15</v>
      </c>
      <c r="F267" s="4">
        <v>648</v>
      </c>
      <c r="G267" s="4">
        <v>648</v>
      </c>
      <c r="H267" s="4">
        <v>0</v>
      </c>
      <c r="I267" s="4">
        <v>0</v>
      </c>
      <c r="J267" s="4">
        <v>648</v>
      </c>
      <c r="K267" s="4">
        <v>0</v>
      </c>
      <c r="L267" s="4">
        <v>648</v>
      </c>
      <c r="M267" s="5">
        <v>648</v>
      </c>
      <c r="N267" s="4">
        <v>0</v>
      </c>
      <c r="O267" s="4" t="s">
        <v>51</v>
      </c>
    </row>
    <row r="268" spans="1:15" s="1" customFormat="1">
      <c r="A268" s="3">
        <v>46021.958958333336</v>
      </c>
      <c r="B268" s="3">
        <v>46021.958958333336</v>
      </c>
      <c r="C268" s="4" t="s">
        <v>320</v>
      </c>
      <c r="D268" s="4">
        <v>20354723</v>
      </c>
      <c r="E268" s="4" t="s">
        <v>15</v>
      </c>
      <c r="F268" s="4">
        <v>648</v>
      </c>
      <c r="G268" s="4">
        <v>648</v>
      </c>
      <c r="H268" s="4">
        <v>0</v>
      </c>
      <c r="I268" s="4">
        <v>0</v>
      </c>
      <c r="J268" s="4">
        <v>648</v>
      </c>
      <c r="K268" s="4">
        <v>0</v>
      </c>
      <c r="L268" s="4">
        <v>648</v>
      </c>
      <c r="M268" s="5">
        <v>648</v>
      </c>
      <c r="N268" s="4">
        <v>0</v>
      </c>
      <c r="O268" s="4" t="s">
        <v>51</v>
      </c>
    </row>
    <row r="269" spans="1:15" s="1" customFormat="1">
      <c r="A269" s="3">
        <v>46022.06108796296</v>
      </c>
      <c r="B269" s="3">
        <v>46022.061249999999</v>
      </c>
      <c r="C269" s="4" t="s">
        <v>321</v>
      </c>
      <c r="D269" s="4">
        <v>19962971</v>
      </c>
      <c r="E269" s="4" t="s">
        <v>15</v>
      </c>
      <c r="F269" s="4">
        <v>1296</v>
      </c>
      <c r="G269" s="4">
        <v>648</v>
      </c>
      <c r="H269" s="4">
        <v>0</v>
      </c>
      <c r="I269" s="4">
        <v>644.76</v>
      </c>
      <c r="J269" s="4">
        <v>651.24</v>
      </c>
      <c r="K269" s="4">
        <v>0</v>
      </c>
      <c r="L269" s="4">
        <v>648</v>
      </c>
      <c r="M269" s="5">
        <v>648</v>
      </c>
      <c r="N269" s="4">
        <v>3.24</v>
      </c>
      <c r="O269" s="4" t="s">
        <v>51</v>
      </c>
    </row>
    <row r="270" spans="1:15" s="1" customFormat="1">
      <c r="A270" s="3">
        <v>46022.600740740738</v>
      </c>
      <c r="B270" s="3">
        <v>46022.600740740738</v>
      </c>
      <c r="C270" s="4" t="s">
        <v>322</v>
      </c>
      <c r="D270" s="4">
        <v>18167590</v>
      </c>
      <c r="E270" s="4" t="s">
        <v>15</v>
      </c>
      <c r="F270" s="4">
        <v>648</v>
      </c>
      <c r="G270" s="4">
        <v>648</v>
      </c>
      <c r="H270" s="4">
        <v>0</v>
      </c>
      <c r="I270" s="4">
        <v>0</v>
      </c>
      <c r="J270" s="4">
        <v>648</v>
      </c>
      <c r="K270" s="4">
        <v>0</v>
      </c>
      <c r="L270" s="4">
        <v>648</v>
      </c>
      <c r="M270" s="5">
        <v>648</v>
      </c>
      <c r="N270" s="4">
        <v>0</v>
      </c>
      <c r="O270" s="4" t="s">
        <v>51</v>
      </c>
    </row>
    <row r="271" spans="1:15" s="1" customFormat="1">
      <c r="A271" s="3">
        <v>46022.718495370369</v>
      </c>
      <c r="B271" s="3">
        <v>46022.718495370369</v>
      </c>
      <c r="C271" s="4" t="s">
        <v>323</v>
      </c>
      <c r="D271" s="4">
        <v>18007154</v>
      </c>
      <c r="E271" s="4" t="s">
        <v>15</v>
      </c>
      <c r="F271" s="4">
        <v>648</v>
      </c>
      <c r="G271" s="4">
        <v>648</v>
      </c>
      <c r="H271" s="4">
        <v>0</v>
      </c>
      <c r="I271" s="4">
        <v>0</v>
      </c>
      <c r="J271" s="4">
        <v>648</v>
      </c>
      <c r="K271" s="4">
        <v>0</v>
      </c>
      <c r="L271" s="4">
        <v>648</v>
      </c>
      <c r="M271" s="5">
        <v>648</v>
      </c>
      <c r="N271" s="4">
        <v>0</v>
      </c>
      <c r="O271" s="4" t="s">
        <v>51</v>
      </c>
    </row>
    <row r="272" spans="1:15" s="1" customFormat="1">
      <c r="A272" s="3">
        <v>46022.967986111114</v>
      </c>
      <c r="B272" s="3">
        <v>46022.967986111114</v>
      </c>
      <c r="C272" s="4" t="s">
        <v>324</v>
      </c>
      <c r="D272" s="4">
        <v>16023033</v>
      </c>
      <c r="E272" s="4" t="s">
        <v>15</v>
      </c>
      <c r="F272" s="4">
        <v>648</v>
      </c>
      <c r="G272" s="4">
        <v>648</v>
      </c>
      <c r="H272" s="4">
        <v>0</v>
      </c>
      <c r="I272" s="4">
        <v>0</v>
      </c>
      <c r="J272" s="4">
        <v>648</v>
      </c>
      <c r="K272" s="4">
        <v>0</v>
      </c>
      <c r="L272" s="4">
        <v>648</v>
      </c>
      <c r="M272" s="5">
        <v>648</v>
      </c>
      <c r="N272" s="4">
        <v>0</v>
      </c>
      <c r="O272" s="4" t="s">
        <v>51</v>
      </c>
    </row>
  </sheetData>
  <autoFilter ref="A1:O272" xr:uid="{00000000-0001-0000-0100-000000000000}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1DF7-F2CB-4591-92B8-8C318A66D2D3}">
  <dimension ref="A1:O2"/>
  <sheetViews>
    <sheetView workbookViewId="0">
      <selection activeCell="E10" sqref="E10"/>
    </sheetView>
  </sheetViews>
  <sheetFormatPr defaultRowHeight="15"/>
  <cols>
    <col min="1" max="2" width="19.7109375" bestFit="1" customWidth="1"/>
    <col min="3" max="3" width="29.85546875" bestFit="1" customWidth="1"/>
    <col min="4" max="4" width="9.7109375" bestFit="1" customWidth="1"/>
    <col min="5" max="5" width="27.7109375" bestFit="1" customWidth="1"/>
    <col min="6" max="14" width="7.7109375" bestFit="1" customWidth="1"/>
    <col min="15" max="15" width="30.42578125" bestFit="1" customWidth="1"/>
  </cols>
  <sheetData>
    <row r="1" spans="1:15" s="1" customFormat="1" ht="75">
      <c r="A1" s="81" t="s">
        <v>36</v>
      </c>
      <c r="B1" s="81" t="s">
        <v>37</v>
      </c>
      <c r="C1" s="81" t="s">
        <v>38</v>
      </c>
      <c r="D1" s="81" t="s">
        <v>39</v>
      </c>
      <c r="E1" s="81" t="s">
        <v>40</v>
      </c>
      <c r="F1" s="81" t="s">
        <v>41</v>
      </c>
      <c r="G1" s="81" t="s">
        <v>42</v>
      </c>
      <c r="H1" s="81" t="s">
        <v>43</v>
      </c>
      <c r="I1" s="81" t="s">
        <v>44</v>
      </c>
      <c r="J1" s="81" t="s">
        <v>45</v>
      </c>
      <c r="K1" s="81" t="s">
        <v>46</v>
      </c>
      <c r="L1" s="81" t="s">
        <v>47</v>
      </c>
      <c r="M1" s="2" t="s">
        <v>48</v>
      </c>
      <c r="N1" s="81" t="s">
        <v>49</v>
      </c>
      <c r="O1" s="81" t="s">
        <v>50</v>
      </c>
    </row>
    <row r="2" spans="1:15" s="84" customFormat="1">
      <c r="A2" s="82">
        <v>46009.664722222224</v>
      </c>
      <c r="B2" s="82">
        <v>46009.664722222224</v>
      </c>
      <c r="C2" s="83" t="s">
        <v>53</v>
      </c>
      <c r="D2" s="83">
        <v>15511629</v>
      </c>
      <c r="E2" s="83" t="s">
        <v>52</v>
      </c>
      <c r="F2" s="83">
        <v>6</v>
      </c>
      <c r="G2" s="83">
        <v>1000</v>
      </c>
      <c r="H2" s="83">
        <v>0</v>
      </c>
      <c r="I2" s="83">
        <v>0</v>
      </c>
      <c r="J2" s="83">
        <v>6</v>
      </c>
      <c r="K2" s="83">
        <v>0</v>
      </c>
      <c r="L2" s="83">
        <v>1000</v>
      </c>
      <c r="M2" s="5">
        <v>6</v>
      </c>
      <c r="N2" s="83">
        <v>0</v>
      </c>
      <c r="O2" s="83" t="s">
        <v>51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对账单</vt:lpstr>
      <vt:lpstr>代金券</vt:lpstr>
      <vt:lpstr>测试费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小姐 李</cp:lastModifiedBy>
  <cp:lastPrinted>2025-05-13T10:06:00Z</cp:lastPrinted>
  <dcterms:created xsi:type="dcterms:W3CDTF">2021-03-03T16:47:00Z</dcterms:created>
  <dcterms:modified xsi:type="dcterms:W3CDTF">2026-01-12T07:43:28Z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E1294B9C00A8416B88196B5B78F1C98F_13</vt:lpwstr>
  </property>
  <property fmtid="{D5CDD505-2E9C-101B-9397-08002B2CF9AE}" pid="4" name="CalculationRule">
    <vt:i4>0</vt:i4>
  </property>
</Properties>
</file>